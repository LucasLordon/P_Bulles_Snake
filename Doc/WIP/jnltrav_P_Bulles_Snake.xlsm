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3c9c9d2fe7a36dcf/Documents/GitHub/P_Bulles_Snake/Doc/WIP/"/>
    </mc:Choice>
  </mc:AlternateContent>
  <xr:revisionPtr revIDLastSave="1" documentId="11_D74D468C0A530469EC35BB8E8788E1B08CE07170" xr6:coauthVersionLast="47" xr6:coauthVersionMax="47" xr10:uidLastSave="{25AA5AF7-C4E0-4060-95FA-458B9F13E5A6}"/>
  <bookViews>
    <workbookView xWindow="30612" yWindow="12492" windowWidth="23256" windowHeight="12456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B24" i="12"/>
  <c r="C23" i="12"/>
  <c r="C22" i="12"/>
  <c r="C21" i="12"/>
  <c r="C20" i="12"/>
  <c r="C19" i="12"/>
  <c r="C18" i="12"/>
  <c r="C17" i="12"/>
  <c r="C16" i="12"/>
  <c r="C5" i="12"/>
  <c r="C4" i="12"/>
  <c r="C12" i="12"/>
  <c r="C24" i="12"/>
  <c r="C8" i="12"/>
  <c r="C6" i="12"/>
  <c r="C7" i="12"/>
  <c r="B36" i="12" l="1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1" i="12"/>
  <c r="C40" i="12"/>
  <c r="C36" i="12"/>
  <c r="C48" i="12"/>
  <c r="C42" i="12"/>
  <c r="B60" i="12" l="1"/>
  <c r="C59" i="12"/>
  <c r="C58" i="12"/>
  <c r="C57" i="12"/>
  <c r="C56" i="12"/>
  <c r="C55" i="12"/>
  <c r="C54" i="12"/>
  <c r="C53" i="12"/>
  <c r="C52" i="12"/>
  <c r="C60" i="12"/>
  <c r="B72" i="12" l="1"/>
  <c r="C71" i="12"/>
  <c r="C70" i="12"/>
  <c r="C69" i="12"/>
  <c r="C68" i="12"/>
  <c r="C67" i="12"/>
  <c r="C66" i="12"/>
  <c r="C64" i="12"/>
  <c r="C72" i="12"/>
  <c r="C65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69" i="1"/>
  <c r="D37" i="1"/>
  <c r="D86" i="1"/>
  <c r="D54" i="1"/>
  <c r="D22" i="1"/>
  <c r="D67" i="1"/>
  <c r="D35" i="1"/>
  <c r="D84" i="1"/>
  <c r="D52" i="1"/>
  <c r="D20" i="1"/>
  <c r="C11" i="16"/>
  <c r="D65" i="1"/>
  <c r="D33" i="1"/>
  <c r="D82" i="1"/>
  <c r="D50" i="1"/>
  <c r="D18" i="1"/>
  <c r="C11" i="15"/>
  <c r="D63" i="1"/>
  <c r="D31" i="1"/>
  <c r="D80" i="1"/>
  <c r="D48" i="1"/>
  <c r="D16" i="1"/>
  <c r="D93" i="1"/>
  <c r="D61" i="1"/>
  <c r="D29" i="1"/>
  <c r="D78" i="1"/>
  <c r="D46" i="1"/>
  <c r="D91" i="1"/>
  <c r="D59" i="1"/>
  <c r="D27" i="1"/>
  <c r="D76" i="1"/>
  <c r="D44" i="1"/>
  <c r="D89" i="1"/>
  <c r="D57" i="1"/>
  <c r="D25" i="1"/>
  <c r="D74" i="1"/>
  <c r="D42" i="1"/>
  <c r="D87" i="1"/>
  <c r="D55" i="1"/>
  <c r="D23" i="1"/>
  <c r="D72" i="1"/>
  <c r="D40" i="1"/>
  <c r="D85" i="1"/>
  <c r="D53" i="1"/>
  <c r="D21" i="1"/>
  <c r="D70" i="1"/>
  <c r="D38" i="1"/>
  <c r="D83" i="1"/>
  <c r="D51" i="1"/>
  <c r="D19" i="1"/>
  <c r="D68" i="1"/>
  <c r="D36" i="1"/>
  <c r="D81" i="1"/>
  <c r="D49" i="1"/>
  <c r="D17" i="1"/>
  <c r="D66" i="1"/>
  <c r="D34" i="1"/>
  <c r="D79" i="1"/>
  <c r="D47" i="1"/>
  <c r="D15" i="1"/>
  <c r="D64" i="1"/>
  <c r="D32" i="1"/>
  <c r="D77" i="1"/>
  <c r="D45" i="1"/>
  <c r="D94" i="1"/>
  <c r="D62" i="1"/>
  <c r="D30" i="1"/>
  <c r="D75" i="1"/>
  <c r="D43" i="1"/>
  <c r="D92" i="1"/>
  <c r="D60" i="1"/>
  <c r="D28" i="1"/>
  <c r="D73" i="1"/>
  <c r="D41" i="1"/>
  <c r="D90" i="1"/>
  <c r="D58" i="1"/>
  <c r="D26" i="1"/>
  <c r="D71" i="1"/>
  <c r="D39" i="1"/>
  <c r="D88" i="1"/>
  <c r="D56" i="1"/>
  <c r="D24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<sst xmlns="http://schemas.openxmlformats.org/spreadsheetml/2006/main" count="243" uniqueCount="74">
  <si>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</si>
  <si>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</si>
  <si>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</si>
  <si>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</si>
  <si>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</si>
  <si>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</si>
  <si>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</si>
  <si>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</si>
  <si>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</si>
  <si>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</si>
  <si>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</si>
  <si>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</si>
  <si>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</si>
  <si>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</si>
  <si>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</si>
  <si>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</si>
  <si>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</si>
  <si>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</si>
  <si>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</si>
  <si>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</si>
  <si>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</si>
  <si>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</si>
  <si>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</si>
  <si>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</si>
  <si>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</si>
  <si>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</si>
  <si>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</si>
  <si>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</si>
  <si>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</si>
  <si>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</si>
  <si>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</si>
  <si>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</si>
  <si>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</si>
  <si>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</si>
  <si>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</si>
  <si>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</si>
  <si>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</si>
  <si>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</si>
  <si>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</si>
  <si>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</si>
  <si>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</si>
  <si>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</si>
  <si>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</si>
  <si>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</si>
  <si>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</si>
  <si>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</si>
  <si>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</si>
  <si>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</si>
  <si>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</si>
  <si>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</si>
  <si>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Mise en place du projet</t>
  </si>
  <si>
    <t>Explication</t>
  </si>
  <si>
    <t>Introduction du projet par Aurélie Curchod</t>
  </si>
  <si>
    <t>Afin d'avoir un bon projet, j'ai mis en place/crée : le repo GitHub,l'Aide-mémoire JavaScript,le journal de travail et le rapport. De plus je me suis inscrit au projet dans la market place.</t>
  </si>
  <si>
    <t>Apprendre</t>
  </si>
  <si>
    <t>Avancer dans la doc de JavaScriptInfo</t>
  </si>
  <si>
    <t>https://fr.javascript.info/</t>
  </si>
  <si>
    <t>Reflection logique</t>
  </si>
  <si>
    <t>J'ai commencer à réfléchir par papier, afin de commencer le projet.</t>
  </si>
  <si>
    <t xml:space="preserve">J'ai fais des recherche sur les tableau en java script car j'ai encore de la peine à comprendre les tableau non typés. </t>
  </si>
  <si>
    <t>Site utiles dans mes recherches : https://developer.mozilla.org/fr/</t>
  </si>
  <si>
    <t>Code</t>
  </si>
  <si>
    <t>J'ai commencer le code</t>
  </si>
  <si>
    <t>7h45min</t>
  </si>
  <si>
    <t>+ 7h45min</t>
  </si>
  <si>
    <t>J'ai fini de coder les déplacement du serpent (:</t>
  </si>
  <si>
    <t>Changer tous les if en ?:</t>
  </si>
  <si>
    <t xml:space="preserve">Comprendre le mapping </t>
  </si>
  <si>
    <t>Comprendre le Aray.Foreach</t>
  </si>
  <si>
    <t>intro + vidéo DevOps</t>
  </si>
  <si>
    <t>Remplire Auto évaluation</t>
  </si>
  <si>
    <t>Début rapport + Auto éval de "ACD"</t>
  </si>
  <si>
    <t>regarder des portfolio</t>
  </si>
  <si>
    <t>Faire fonctionner le multiplayer du snake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</si>
</sst>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09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2" fillId="17" borderId="18" xfId="0" applyFont="1" applyFill="1" applyBorder="1"/>
    <xf numFmtId="0" fontId="2" fillId="17" borderId="19" xfId="0" applyFont="1" applyFill="1" applyBorder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7" borderId="56" xfId="0" applyFont="1" applyFill="1" applyBorder="1"/>
    <xf numFmtId="0" fontId="2" fillId="17" borderId="29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0" fillId="0" borderId="33" xfId="0" applyBorder="1" applyAlignment="1" applyProtection="1">
      <alignment horizontal="center" vertical="top" wrapText="1"/>
      <protection locked="0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du projet</c:v>
              </c:pt>
              <c:pt idx="6">
                <c:v>Explication</c:v>
              </c:pt>
              <c:pt idx="7">
                <c:v>Apprendre</c:v>
              </c:pt>
              <c:pt idx="8">
                <c:v>Reflection logique</c:v>
              </c:pt>
              <c:pt idx="9">
                <c:v>Code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1.6699999570846558</c:v>
              </c:pt>
              <c:pt idx="6">
                <c:v>0.33000001311302185</c:v>
              </c:pt>
              <c:pt idx="7">
                <c:v>3.5</c:v>
              </c:pt>
              <c:pt idx="8">
                <c:v>0.25</c:v>
              </c:pt>
              <c:pt idx="9">
                <c:v>2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D42" sqref="D42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59" t="s">
        <v>38</v>
      </c>
      <c r="C35" s="159"/>
      <c r="D35" s="159"/>
      <c r="E35" s="91" t="s">
        <v>47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0" t="s">
        <v>39</v>
      </c>
      <c r="C37" s="160"/>
      <c r="D37" s="160"/>
      <c r="E37" s="93" t="s">
        <v>63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34</v>
      </c>
      <c r="E39" s="157" t="s">
        <v>64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topLeftCell="A55" zoomScale="70" zoomScaleNormal="70" zoomScaleSheetLayoutView="43" workbookViewId="0">
      <selection activeCell="E95" sqref="E95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85" width="1.140625" style="2" customWidth="1"/>
    <col min="186" max="186" width="2.7109375" style="2" customWidth="1"/>
    <col min="187" max="16384" width="11.42578125" style="2"/>
  </cols>
  <sheetData>
    <row r="1" spans="1:186" ht="35.1" customHeight="1" x14ac:dyDescent="0.25">
      <c r="B1" s="80"/>
      <c r="C1" s="191" t="s">
        <v>35</v>
      </c>
      <c r="D1" s="191"/>
      <c r="E1" s="19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8">
        <v>1</v>
      </c>
    </row>
    <row r="2" spans="1:18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5"/>
    </row>
    <row r="3" spans="1:186" ht="30" customHeight="1" x14ac:dyDescent="0.25">
      <c r="B3" s="53"/>
      <c r="C3" s="5" t="s">
        <v>0</v>
      </c>
      <c r="D3" s="123"/>
      <c r="E3" s="6" t="s">
        <v>13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5"/>
    </row>
    <row r="4" spans="1:186" ht="30" customHeight="1" x14ac:dyDescent="0.25">
      <c r="B4" s="53"/>
      <c r="C4" s="9" t="s">
        <v>6</v>
      </c>
      <c r="D4" s="124"/>
      <c r="E4" s="10" t="s">
        <v>14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5"/>
    </row>
    <row r="5" spans="1:186" ht="30" customHeight="1" x14ac:dyDescent="0.25">
      <c r="B5" s="53"/>
      <c r="C5" s="9" t="s">
        <v>1</v>
      </c>
      <c r="D5" s="124"/>
      <c r="E5" s="10" t="s">
        <v>11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5"/>
    </row>
    <row r="6" spans="1:186" ht="30" customHeight="1" thickBot="1" x14ac:dyDescent="0.3">
      <c r="B6" s="53"/>
      <c r="C6" s="13" t="s">
        <v>2</v>
      </c>
      <c r="D6" s="125"/>
      <c r="E6" s="14" t="s">
        <v>12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5"/>
    </row>
    <row r="7" spans="1:186" ht="20.100000000000001" customHeight="1" thickBot="1" x14ac:dyDescent="0.3">
      <c r="B7" s="53"/>
      <c r="C7" s="192"/>
      <c r="D7" s="192"/>
      <c r="E7" s="19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5"/>
    </row>
    <row r="8" spans="1:186" ht="30" customHeight="1" x14ac:dyDescent="0.25">
      <c r="B8" s="53"/>
      <c r="C8" s="5" t="s">
        <v>3</v>
      </c>
      <c r="D8" s="123"/>
      <c r="E8" s="6" t="s">
        <v>15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5"/>
    </row>
    <row r="9" spans="1:186" ht="30" customHeight="1" x14ac:dyDescent="0.25">
      <c r="B9" s="53"/>
      <c r="C9" s="9" t="s">
        <v>22</v>
      </c>
      <c r="D9" s="124"/>
      <c r="E9" s="10" t="s">
        <v>26</v>
      </c>
      <c r="F9" s="11"/>
      <c r="G9" s="183" t="str">
        <f>E96</f>
        <v>0h</v>
      </c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03"/>
      <c r="W9" s="182" t="s">
        <v>27</v>
      </c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3" t="str">
        <f>E98</f>
        <v>7h45min</v>
      </c>
      <c r="AI9" s="183"/>
      <c r="AJ9" s="183"/>
      <c r="AK9" s="183"/>
      <c r="AL9" s="183"/>
      <c r="AM9" s="183"/>
      <c r="AN9" s="183"/>
      <c r="AO9" s="183"/>
      <c r="AP9" s="183"/>
      <c r="AQ9" s="183"/>
      <c r="AR9" s="183"/>
      <c r="AS9" s="183"/>
      <c r="AT9" s="183"/>
      <c r="AU9" s="183"/>
      <c r="AV9" s="183"/>
      <c r="AW9" s="183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5"/>
    </row>
    <row r="10" spans="1:18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75"/>
    </row>
    <row r="11" spans="1:186" ht="20.100000000000001" customHeight="1" x14ac:dyDescent="0.25">
      <c r="B11" s="53"/>
      <c r="C11" s="189"/>
      <c r="D11" s="189"/>
      <c r="E11" s="189"/>
      <c r="F11" s="181" t="s">
        <v>48</v>
      </c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 t="s">
        <v>48</v>
      </c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1"/>
      <c r="DG11" s="181"/>
      <c r="DH11" s="181"/>
      <c r="DI11" s="181"/>
      <c r="DJ11" s="181"/>
      <c r="DK11" s="181"/>
      <c r="DL11" s="181"/>
      <c r="DM11" s="181"/>
      <c r="DN11" s="181"/>
      <c r="DO11" s="181"/>
      <c r="DP11" s="181"/>
      <c r="DQ11" s="181"/>
      <c r="DR11" s="181"/>
      <c r="DS11" s="181"/>
      <c r="DT11" s="181"/>
      <c r="DU11" s="181"/>
      <c r="DV11" s="178" t="s">
        <v>48</v>
      </c>
      <c r="DW11" s="178"/>
      <c r="DX11" s="178"/>
      <c r="DY11" s="178"/>
      <c r="DZ11" s="178"/>
      <c r="EA11" s="178"/>
      <c r="EB11" s="178"/>
      <c r="EC11" s="178"/>
      <c r="ED11" s="178"/>
      <c r="EE11" s="178"/>
      <c r="EF11" s="178"/>
      <c r="EG11" s="178"/>
      <c r="EH11" s="178"/>
      <c r="EI11" s="178"/>
      <c r="EJ11" s="178"/>
      <c r="EK11" s="178"/>
      <c r="EL11" s="178"/>
      <c r="EM11" s="178"/>
      <c r="EN11" s="178"/>
      <c r="EO11" s="178"/>
      <c r="EP11" s="178"/>
      <c r="EQ11" s="178"/>
      <c r="ER11" s="178"/>
      <c r="ES11" s="178"/>
      <c r="ET11" s="178"/>
      <c r="EU11" s="178"/>
      <c r="EV11" s="178"/>
      <c r="EW11" s="178"/>
      <c r="EX11" s="178"/>
      <c r="EY11" s="178"/>
      <c r="EZ11" s="178"/>
      <c r="FA11" s="178"/>
      <c r="FB11" s="178"/>
      <c r="FC11" s="178"/>
      <c r="FD11" s="178"/>
      <c r="FE11" s="178"/>
      <c r="FF11" s="178"/>
      <c r="FG11" s="178"/>
      <c r="FH11" s="178"/>
      <c r="FI11" s="178"/>
      <c r="FJ11" s="178"/>
      <c r="FK11" s="178"/>
      <c r="FL11" s="178"/>
      <c r="FM11" s="178"/>
      <c r="FN11" s="178"/>
      <c r="FO11" s="178"/>
      <c r="FP11" s="178"/>
      <c r="FQ11" s="178"/>
      <c r="FR11" s="178"/>
      <c r="FS11" s="178"/>
      <c r="FT11" s="178"/>
      <c r="FU11" s="178"/>
      <c r="FV11" s="178"/>
      <c r="FW11" s="178"/>
      <c r="FX11" s="178"/>
      <c r="FY11" s="178"/>
      <c r="FZ11" s="178"/>
      <c r="GA11" s="178"/>
      <c r="GB11" s="178"/>
      <c r="GC11" s="178"/>
      <c r="GD11" s="75"/>
    </row>
    <row r="12" spans="1:186" ht="15.75" customHeight="1" thickBot="1" x14ac:dyDescent="0.3">
      <c r="B12" s="81"/>
      <c r="C12" s="190"/>
      <c r="D12" s="190"/>
      <c r="E12" s="190"/>
      <c r="F12" s="180" t="s">
        <v>49</v>
      </c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 t="s">
        <v>49</v>
      </c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D12" s="180"/>
      <c r="CE12" s="180"/>
      <c r="CF12" s="180"/>
      <c r="CG12" s="180"/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180"/>
      <c r="DI12" s="180"/>
      <c r="DJ12" s="180"/>
      <c r="DK12" s="180"/>
      <c r="DL12" s="180"/>
      <c r="DM12" s="180"/>
      <c r="DN12" s="180"/>
      <c r="DO12" s="180"/>
      <c r="DP12" s="180"/>
      <c r="DQ12" s="180"/>
      <c r="DR12" s="180"/>
      <c r="DS12" s="180"/>
      <c r="DT12" s="180"/>
      <c r="DU12" s="180"/>
      <c r="DV12" s="179" t="s">
        <v>49</v>
      </c>
      <c r="DW12" s="179"/>
      <c r="DX12" s="179"/>
      <c r="DY12" s="179"/>
      <c r="DZ12" s="179"/>
      <c r="EA12" s="179"/>
      <c r="EB12" s="179"/>
      <c r="EC12" s="179"/>
      <c r="ED12" s="179"/>
      <c r="EE12" s="179"/>
      <c r="EF12" s="179"/>
      <c r="EG12" s="179"/>
      <c r="EH12" s="179"/>
      <c r="EI12" s="179"/>
      <c r="EJ12" s="179"/>
      <c r="EK12" s="179"/>
      <c r="EL12" s="179"/>
      <c r="EM12" s="179"/>
      <c r="EN12" s="179"/>
      <c r="EO12" s="179"/>
      <c r="EP12" s="179"/>
      <c r="EQ12" s="179"/>
      <c r="ER12" s="179"/>
      <c r="ES12" s="179"/>
      <c r="ET12" s="179"/>
      <c r="EU12" s="179"/>
      <c r="EV12" s="179"/>
      <c r="EW12" s="179"/>
      <c r="EX12" s="179"/>
      <c r="EY12" s="179"/>
      <c r="EZ12" s="179"/>
      <c r="FA12" s="179"/>
      <c r="FB12" s="179"/>
      <c r="FC12" s="179"/>
      <c r="FD12" s="179"/>
      <c r="FE12" s="179"/>
      <c r="FF12" s="179"/>
      <c r="FG12" s="179"/>
      <c r="FH12" s="179"/>
      <c r="FI12" s="179"/>
      <c r="FJ12" s="179"/>
      <c r="FK12" s="179"/>
      <c r="FL12" s="179"/>
      <c r="FM12" s="179"/>
      <c r="FN12" s="179"/>
      <c r="FO12" s="179"/>
      <c r="FP12" s="179"/>
      <c r="FQ12" s="179"/>
      <c r="FR12" s="179"/>
      <c r="FS12" s="179"/>
      <c r="FT12" s="179"/>
      <c r="FU12" s="179"/>
      <c r="FV12" s="179"/>
      <c r="FW12" s="179"/>
      <c r="FX12" s="179"/>
      <c r="FY12" s="179"/>
      <c r="FZ12" s="179"/>
      <c r="GA12" s="179"/>
      <c r="GB12" s="179"/>
      <c r="GC12" s="179"/>
      <c r="GD12" s="75"/>
    </row>
    <row r="13" spans="1:186" ht="42.75" customHeight="1" thickBot="1" x14ac:dyDescent="0.3">
      <c r="B13" s="53"/>
      <c r="C13" s="185" t="s">
        <v>7</v>
      </c>
      <c r="D13" s="127"/>
      <c r="E13" s="187" t="s">
        <v>45</v>
      </c>
      <c r="F13" s="161" t="s">
        <v>8</v>
      </c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62"/>
      <c r="AG13" s="162"/>
      <c r="AH13" s="162"/>
      <c r="AI13" s="162"/>
      <c r="AJ13" s="162"/>
      <c r="AK13" s="162"/>
      <c r="AL13" s="162"/>
      <c r="AM13" s="162"/>
      <c r="AN13" s="162"/>
      <c r="AO13" s="162"/>
      <c r="AP13" s="162"/>
      <c r="AQ13" s="162"/>
      <c r="AR13" s="162"/>
      <c r="AS13" s="162"/>
      <c r="AT13" s="162"/>
      <c r="AU13" s="162"/>
      <c r="AV13" s="162"/>
      <c r="AW13" s="162"/>
      <c r="AX13" s="162"/>
      <c r="AY13" s="162"/>
      <c r="AZ13" s="162"/>
      <c r="BA13" s="162"/>
      <c r="BB13" s="162"/>
      <c r="BC13" s="162"/>
      <c r="BD13" s="162"/>
      <c r="BE13" s="162"/>
      <c r="BF13" s="162"/>
      <c r="BG13" s="162"/>
      <c r="BH13" s="162"/>
      <c r="BI13" s="162"/>
      <c r="BJ13" s="162"/>
      <c r="BK13" s="162"/>
      <c r="BL13" s="162"/>
      <c r="BM13" s="163"/>
      <c r="BN13" s="161" t="s">
        <v>32</v>
      </c>
      <c r="BO13" s="162"/>
      <c r="BP13" s="162"/>
      <c r="BQ13" s="162"/>
      <c r="BR13" s="162"/>
      <c r="BS13" s="162"/>
      <c r="BT13" s="162"/>
      <c r="BU13" s="162"/>
      <c r="BV13" s="162"/>
      <c r="BW13" s="162"/>
      <c r="BX13" s="162"/>
      <c r="BY13" s="162"/>
      <c r="BZ13" s="162"/>
      <c r="CA13" s="162"/>
      <c r="CB13" s="162"/>
      <c r="CC13" s="162"/>
      <c r="CD13" s="162"/>
      <c r="CE13" s="162"/>
      <c r="CF13" s="162"/>
      <c r="CG13" s="162"/>
      <c r="CH13" s="162"/>
      <c r="CI13" s="162"/>
      <c r="CJ13" s="162"/>
      <c r="CK13" s="162"/>
      <c r="CL13" s="162"/>
      <c r="CM13" s="162"/>
      <c r="CN13" s="162"/>
      <c r="CO13" s="162"/>
      <c r="CP13" s="162"/>
      <c r="CQ13" s="162"/>
      <c r="CR13" s="162"/>
      <c r="CS13" s="162"/>
      <c r="CT13" s="162"/>
      <c r="CU13" s="162"/>
      <c r="CV13" s="162"/>
      <c r="CW13" s="162"/>
      <c r="CX13" s="162"/>
      <c r="CY13" s="162"/>
      <c r="CZ13" s="162"/>
      <c r="DA13" s="162"/>
      <c r="DB13" s="162"/>
      <c r="DC13" s="162"/>
      <c r="DD13" s="162"/>
      <c r="DE13" s="162"/>
      <c r="DF13" s="162"/>
      <c r="DG13" s="162"/>
      <c r="DH13" s="162"/>
      <c r="DI13" s="162"/>
      <c r="DJ13" s="162"/>
      <c r="DK13" s="162"/>
      <c r="DL13" s="162"/>
      <c r="DM13" s="162"/>
      <c r="DN13" s="162"/>
      <c r="DO13" s="162"/>
      <c r="DP13" s="162"/>
      <c r="DQ13" s="162"/>
      <c r="DR13" s="162"/>
      <c r="DS13" s="162"/>
      <c r="DT13" s="162"/>
      <c r="DU13" s="163"/>
      <c r="DV13" s="161" t="s">
        <v>23</v>
      </c>
      <c r="DW13" s="162"/>
      <c r="DX13" s="162"/>
      <c r="DY13" s="162"/>
      <c r="DZ13" s="162"/>
      <c r="EA13" s="162"/>
      <c r="EB13" s="162"/>
      <c r="EC13" s="162"/>
      <c r="ED13" s="162"/>
      <c r="EE13" s="162"/>
      <c r="EF13" s="162"/>
      <c r="EG13" s="162"/>
      <c r="EH13" s="162"/>
      <c r="EI13" s="162"/>
      <c r="EJ13" s="162"/>
      <c r="EK13" s="162"/>
      <c r="EL13" s="162"/>
      <c r="EM13" s="162"/>
      <c r="EN13" s="162"/>
      <c r="EO13" s="162"/>
      <c r="EP13" s="162"/>
      <c r="EQ13" s="162"/>
      <c r="ER13" s="162"/>
      <c r="ES13" s="162"/>
      <c r="ET13" s="162"/>
      <c r="EU13" s="162"/>
      <c r="EV13" s="162"/>
      <c r="EW13" s="162"/>
      <c r="EX13" s="162"/>
      <c r="EY13" s="162"/>
      <c r="EZ13" s="162"/>
      <c r="FA13" s="162"/>
      <c r="FB13" s="162"/>
      <c r="FC13" s="162"/>
      <c r="FD13" s="162"/>
      <c r="FE13" s="162"/>
      <c r="FF13" s="162"/>
      <c r="FG13" s="162"/>
      <c r="FH13" s="162"/>
      <c r="FI13" s="162"/>
      <c r="FJ13" s="162"/>
      <c r="FK13" s="162"/>
      <c r="FL13" s="162"/>
      <c r="FM13" s="162"/>
      <c r="FN13" s="162"/>
      <c r="FO13" s="162"/>
      <c r="FP13" s="162"/>
      <c r="FQ13" s="162"/>
      <c r="FR13" s="162"/>
      <c r="FS13" s="162"/>
      <c r="FT13" s="162"/>
      <c r="FU13" s="162"/>
      <c r="FV13" s="162"/>
      <c r="FW13" s="162"/>
      <c r="FX13" s="162"/>
      <c r="FY13" s="162"/>
      <c r="FZ13" s="162"/>
      <c r="GA13" s="162"/>
      <c r="GB13" s="162"/>
      <c r="GC13" s="163"/>
      <c r="GD13" s="75"/>
    </row>
    <row r="14" spans="1:186" ht="12.75" customHeight="1" thickBot="1" x14ac:dyDescent="0.35">
      <c r="B14" s="53"/>
      <c r="C14" s="186"/>
      <c r="D14" s="128"/>
      <c r="E14" s="188"/>
      <c r="F14" s="87"/>
      <c r="G14" s="88"/>
      <c r="H14" s="88"/>
      <c r="I14" s="88"/>
      <c r="J14" s="164" t="s">
        <v>40</v>
      </c>
      <c r="K14" s="164"/>
      <c r="L14" s="164"/>
      <c r="M14" s="164"/>
      <c r="N14" s="88"/>
      <c r="O14" s="88"/>
      <c r="P14" s="165" t="s">
        <v>28</v>
      </c>
      <c r="Q14" s="165"/>
      <c r="R14" s="165"/>
      <c r="S14" s="165"/>
      <c r="T14" s="112"/>
      <c r="U14" s="112"/>
      <c r="V14" s="164" t="s">
        <v>41</v>
      </c>
      <c r="W14" s="164"/>
      <c r="X14" s="164"/>
      <c r="Y14" s="164"/>
      <c r="Z14" s="88"/>
      <c r="AA14" s="88"/>
      <c r="AB14" s="165" t="s">
        <v>29</v>
      </c>
      <c r="AC14" s="165"/>
      <c r="AD14" s="165"/>
      <c r="AE14" s="165"/>
      <c r="AF14" s="112"/>
      <c r="AG14" s="112"/>
      <c r="AH14" s="164" t="s">
        <v>42</v>
      </c>
      <c r="AI14" s="164"/>
      <c r="AJ14" s="164"/>
      <c r="AK14" s="164"/>
      <c r="AL14" s="88"/>
      <c r="AM14" s="88"/>
      <c r="AN14" s="165" t="s">
        <v>30</v>
      </c>
      <c r="AO14" s="165"/>
      <c r="AP14" s="165"/>
      <c r="AQ14" s="165"/>
      <c r="AR14" s="112"/>
      <c r="AS14" s="112"/>
      <c r="AT14" s="164" t="s">
        <v>43</v>
      </c>
      <c r="AU14" s="164"/>
      <c r="AV14" s="164"/>
      <c r="AW14" s="164"/>
      <c r="AX14" s="88"/>
      <c r="AY14" s="88"/>
      <c r="AZ14" s="165" t="s">
        <v>31</v>
      </c>
      <c r="BA14" s="165"/>
      <c r="BB14" s="165"/>
      <c r="BC14" s="165"/>
      <c r="BD14" s="112"/>
      <c r="BE14" s="112"/>
      <c r="BF14" s="164" t="s">
        <v>44</v>
      </c>
      <c r="BG14" s="164"/>
      <c r="BH14" s="164"/>
      <c r="BI14" s="164"/>
      <c r="BJ14" s="88"/>
      <c r="BK14" s="88"/>
      <c r="BL14" s="88"/>
      <c r="BM14" s="89"/>
      <c r="BN14" s="87"/>
      <c r="BO14" s="88"/>
      <c r="BP14" s="88"/>
      <c r="BQ14" s="88"/>
      <c r="BR14" s="164" t="s">
        <v>40</v>
      </c>
      <c r="BS14" s="164"/>
      <c r="BT14" s="164"/>
      <c r="BU14" s="164"/>
      <c r="BV14" s="88"/>
      <c r="BW14" s="88"/>
      <c r="BX14" s="165" t="s">
        <v>28</v>
      </c>
      <c r="BY14" s="165"/>
      <c r="BZ14" s="165"/>
      <c r="CA14" s="165"/>
      <c r="CB14" s="112"/>
      <c r="CC14" s="112"/>
      <c r="CD14" s="164" t="s">
        <v>41</v>
      </c>
      <c r="CE14" s="164"/>
      <c r="CF14" s="164"/>
      <c r="CG14" s="164"/>
      <c r="CH14" s="88"/>
      <c r="CI14" s="88"/>
      <c r="CJ14" s="165" t="s">
        <v>29</v>
      </c>
      <c r="CK14" s="165"/>
      <c r="CL14" s="165"/>
      <c r="CM14" s="165"/>
      <c r="CN14" s="112"/>
      <c r="CO14" s="112"/>
      <c r="CP14" s="164" t="s">
        <v>42</v>
      </c>
      <c r="CQ14" s="164"/>
      <c r="CR14" s="164"/>
      <c r="CS14" s="164"/>
      <c r="CT14" s="88"/>
      <c r="CU14" s="88"/>
      <c r="CV14" s="165" t="s">
        <v>30</v>
      </c>
      <c r="CW14" s="165"/>
      <c r="CX14" s="165"/>
      <c r="CY14" s="165"/>
      <c r="CZ14" s="112"/>
      <c r="DA14" s="112"/>
      <c r="DB14" s="164" t="s">
        <v>43</v>
      </c>
      <c r="DC14" s="164"/>
      <c r="DD14" s="164"/>
      <c r="DE14" s="164"/>
      <c r="DF14" s="88"/>
      <c r="DG14" s="88"/>
      <c r="DH14" s="165" t="s">
        <v>31</v>
      </c>
      <c r="DI14" s="165"/>
      <c r="DJ14" s="165"/>
      <c r="DK14" s="165"/>
      <c r="DL14" s="112"/>
      <c r="DM14" s="112"/>
      <c r="DN14" s="164" t="s">
        <v>44</v>
      </c>
      <c r="DO14" s="164"/>
      <c r="DP14" s="164"/>
      <c r="DQ14" s="164"/>
      <c r="DR14" s="88"/>
      <c r="DS14" s="88"/>
      <c r="DT14" s="88"/>
      <c r="DU14" s="89"/>
      <c r="DV14" s="87"/>
      <c r="DW14" s="88"/>
      <c r="DX14" s="88"/>
      <c r="DY14" s="88"/>
      <c r="DZ14" s="164" t="s">
        <v>40</v>
      </c>
      <c r="EA14" s="164"/>
      <c r="EB14" s="164"/>
      <c r="EC14" s="164"/>
      <c r="ED14" s="88"/>
      <c r="EE14" s="88"/>
      <c r="EF14" s="165" t="s">
        <v>28</v>
      </c>
      <c r="EG14" s="165"/>
      <c r="EH14" s="165"/>
      <c r="EI14" s="165"/>
      <c r="EJ14" s="112"/>
      <c r="EK14" s="112"/>
      <c r="EL14" s="164" t="s">
        <v>41</v>
      </c>
      <c r="EM14" s="164"/>
      <c r="EN14" s="164"/>
      <c r="EO14" s="164"/>
      <c r="EP14" s="88"/>
      <c r="EQ14" s="88"/>
      <c r="ER14" s="165" t="s">
        <v>29</v>
      </c>
      <c r="ES14" s="165"/>
      <c r="ET14" s="165"/>
      <c r="EU14" s="165"/>
      <c r="EV14" s="112"/>
      <c r="EW14" s="112"/>
      <c r="EX14" s="164" t="s">
        <v>42</v>
      </c>
      <c r="EY14" s="164"/>
      <c r="EZ14" s="164"/>
      <c r="FA14" s="164"/>
      <c r="FB14" s="88"/>
      <c r="FC14" s="88"/>
      <c r="FD14" s="165" t="s">
        <v>30</v>
      </c>
      <c r="FE14" s="165"/>
      <c r="FF14" s="165"/>
      <c r="FG14" s="165"/>
      <c r="FH14" s="112"/>
      <c r="FI14" s="112"/>
      <c r="FJ14" s="164" t="s">
        <v>43</v>
      </c>
      <c r="FK14" s="164"/>
      <c r="FL14" s="164"/>
      <c r="FM14" s="164"/>
      <c r="FN14" s="88"/>
      <c r="FO14" s="88"/>
      <c r="FP14" s="165" t="s">
        <v>31</v>
      </c>
      <c r="FQ14" s="165"/>
      <c r="FR14" s="165"/>
      <c r="FS14" s="165"/>
      <c r="FT14" s="112"/>
      <c r="FU14" s="112"/>
      <c r="FV14" s="164" t="s">
        <v>44</v>
      </c>
      <c r="FW14" s="164"/>
      <c r="FX14" s="164"/>
      <c r="FY14" s="164"/>
      <c r="FZ14" s="88"/>
      <c r="GA14" s="88"/>
      <c r="GB14" s="88"/>
      <c r="GC14" s="89"/>
      <c r="GD14" s="75"/>
    </row>
    <row r="15" spans="1:186" ht="20.100000000000001" customHeight="1" x14ac:dyDescent="0.25">
      <c r="A15" s="84" t="s">
        <v>24</v>
      </c>
      <c r="B15" s="53" t="str">
        <f>IF(LEN(C15)=0,"",C15)</f>
        <v xml:space="preserve">Absences - imprévus </v>
      </c>
      <c r="C15" s="170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75"/>
    </row>
    <row r="16" spans="1:186" ht="20.100000000000001" customHeight="1" x14ac:dyDescent="0.25">
      <c r="A16" s="84" t="s">
        <v>25</v>
      </c>
      <c r="B16" s="53" t="str">
        <f>IF(LEN(C17)=0,"",C17)</f>
        <v>Analyse - Planification initiale</v>
      </c>
      <c r="C16" s="171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75"/>
    </row>
    <row r="17" spans="1:186" ht="20.100000000000001" customHeight="1" x14ac:dyDescent="0.25">
      <c r="A17" s="84" t="s">
        <v>24</v>
      </c>
      <c r="B17" s="53" t="str">
        <f>IF(LEN(C19)=0,"",C19)</f>
        <v>Réalisation - Interfaces</v>
      </c>
      <c r="C17" s="170" t="s">
        <v>36</v>
      </c>
      <c r="D17" s="129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75"/>
    </row>
    <row r="18" spans="1:186" ht="20.100000000000001" customHeight="1" x14ac:dyDescent="0.3">
      <c r="A18" s="84" t="s">
        <v>25</v>
      </c>
      <c r="B18" s="53" t="str">
        <f>IF(LEN(C21)=0,"",C21)</f>
        <v>Doc - Journal de travail</v>
      </c>
      <c r="C18" s="171"/>
      <c r="D18" s="131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75"/>
    </row>
    <row r="19" spans="1:186" ht="20.100000000000001" customHeight="1" x14ac:dyDescent="0.25">
      <c r="A19" s="84" t="s">
        <v>24</v>
      </c>
      <c r="B19" s="53" t="str">
        <f>IF(LEN(C23)=0,"",C23)</f>
        <v>Doc - Rapport</v>
      </c>
      <c r="C19" s="170" t="s">
        <v>37</v>
      </c>
      <c r="D19" s="129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75"/>
    </row>
    <row r="20" spans="1:186" ht="20.100000000000001" customHeight="1" x14ac:dyDescent="0.25">
      <c r="A20" s="84" t="s">
        <v>25</v>
      </c>
      <c r="B20" s="53" t="str">
        <f>IF(LEN(C25)=0,"",C25)</f>
        <v>Mise en place du projet</v>
      </c>
      <c r="C20" s="172"/>
      <c r="D20" s="130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75"/>
    </row>
    <row r="21" spans="1:186" ht="20.100000000000001" customHeight="1" x14ac:dyDescent="0.25">
      <c r="A21" s="84" t="s">
        <v>24</v>
      </c>
      <c r="B21" s="53" t="str">
        <f>IF(LEN(C27)=0,"",C27)</f>
        <v>Explication</v>
      </c>
      <c r="C21" s="170" t="s">
        <v>21</v>
      </c>
      <c r="D21" s="129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75"/>
    </row>
    <row r="22" spans="1:186" ht="20.100000000000001" customHeight="1" x14ac:dyDescent="0.25">
      <c r="A22" s="84" t="s">
        <v>25</v>
      </c>
      <c r="B22" s="53" t="str">
        <f>IF(LEN(C29)=0,"",C29)</f>
        <v>Apprendre</v>
      </c>
      <c r="C22" s="172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75"/>
    </row>
    <row r="23" spans="1:186" ht="20.100000000000001" customHeight="1" x14ac:dyDescent="0.25">
      <c r="A23" s="84" t="s">
        <v>24</v>
      </c>
      <c r="B23" s="53" t="str">
        <f>IF(LEN(C31)=0,"",C31)</f>
        <v>Reflection logique</v>
      </c>
      <c r="C23" s="170" t="s">
        <v>20</v>
      </c>
      <c r="D23" s="129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75"/>
    </row>
    <row r="24" spans="1:186" ht="20.100000000000001" customHeight="1" x14ac:dyDescent="0.25">
      <c r="A24" s="84" t="s">
        <v>25</v>
      </c>
      <c r="B24" s="53" t="str">
        <f>IF(LEN(C33)=0,"",C33)</f>
        <v>Code</v>
      </c>
      <c r="C24" s="172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75"/>
    </row>
    <row r="25" spans="1:186" ht="20.100000000000001" customHeight="1" x14ac:dyDescent="0.25">
      <c r="A25" s="84" t="s">
        <v>24</v>
      </c>
      <c r="B25" s="53" t="str">
        <f>IF(LEN(C35)=0,"",C35)</f>
        <v/>
      </c>
      <c r="C25" s="170" t="s">
        <v>50</v>
      </c>
      <c r="D25" s="129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75"/>
    </row>
    <row r="26" spans="1:186" ht="20.100000000000001" customHeight="1" x14ac:dyDescent="0.3">
      <c r="A26" s="84" t="s">
        <v>25</v>
      </c>
      <c r="B26" s="53" t="str">
        <f>IF(LEN(C37)=0,"",C37)</f>
        <v/>
      </c>
      <c r="C26" s="171"/>
      <c r="D26" s="131" t="str">
        <f t="shared" si="0"/>
        <v>1h40min</v>
      </c>
      <c r="E26" s="30">
        <v>20</v>
      </c>
      <c r="F26" s="31"/>
      <c r="G26" s="32"/>
      <c r="H26" s="32"/>
      <c r="I26" s="32"/>
      <c r="J26" s="152"/>
      <c r="K26" s="153"/>
      <c r="L26" s="152"/>
      <c r="M26" s="152"/>
      <c r="N26" s="152"/>
      <c r="O26" s="152"/>
      <c r="P26" s="152"/>
      <c r="Q26" s="154"/>
      <c r="R26" s="152"/>
      <c r="S26" s="152"/>
      <c r="T26" s="152"/>
      <c r="U26" s="152"/>
      <c r="V26" s="152"/>
      <c r="W26" s="155"/>
      <c r="X26" s="152"/>
      <c r="Y26" s="152"/>
      <c r="Z26" s="152"/>
      <c r="AA26" s="152"/>
      <c r="AB26" s="152"/>
      <c r="AC26" s="154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75"/>
    </row>
    <row r="27" spans="1:186" ht="20.100000000000001" customHeight="1" x14ac:dyDescent="0.25">
      <c r="A27" s="84" t="s">
        <v>24</v>
      </c>
      <c r="B27" s="53" t="str">
        <f>IF(LEN(C39)=0,"",C39)</f>
        <v/>
      </c>
      <c r="C27" s="170" t="s">
        <v>51</v>
      </c>
      <c r="D27" s="129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75"/>
    </row>
    <row r="28" spans="1:186" ht="20.100000000000001" customHeight="1" x14ac:dyDescent="0.3">
      <c r="A28" s="84" t="s">
        <v>25</v>
      </c>
      <c r="B28" s="53" t="str">
        <f>IF(LEN(C41)=0,"",C41)</f>
        <v/>
      </c>
      <c r="C28" s="171"/>
      <c r="D28" s="131" t="str">
        <f t="shared" si="0"/>
        <v>0h20min</v>
      </c>
      <c r="E28" s="22">
        <v>4</v>
      </c>
      <c r="F28" s="150"/>
      <c r="G28" s="151"/>
      <c r="H28" s="151"/>
      <c r="I28" s="151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75"/>
    </row>
    <row r="29" spans="1:186" ht="20.100000000000001" customHeight="1" x14ac:dyDescent="0.25">
      <c r="A29" s="84" t="s">
        <v>24</v>
      </c>
      <c r="B29" s="53" t="str">
        <f>IF(LEN(C43)=0,"",C43)</f>
        <v/>
      </c>
      <c r="C29" s="170" t="s">
        <v>54</v>
      </c>
      <c r="D29" s="129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75"/>
    </row>
    <row r="30" spans="1:186" ht="20.100000000000001" customHeight="1" x14ac:dyDescent="0.3">
      <c r="A30" s="84" t="s">
        <v>25</v>
      </c>
      <c r="B30" s="53" t="str">
        <f>IF(LEN(C45)=0,"",C45)</f>
        <v/>
      </c>
      <c r="C30" s="171"/>
      <c r="D30" s="131" t="str">
        <f t="shared" si="0"/>
        <v>3h30min</v>
      </c>
      <c r="E30" s="30">
        <v>42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152"/>
      <c r="AE30" s="152"/>
      <c r="AF30" s="152"/>
      <c r="AG30" s="152"/>
      <c r="AH30" s="152"/>
      <c r="AI30" s="155"/>
      <c r="AJ30" s="152"/>
      <c r="AK30" s="152"/>
      <c r="AL30" s="152"/>
      <c r="AM30" s="152"/>
      <c r="AN30" s="152"/>
      <c r="AO30" s="154"/>
      <c r="AP30" s="152"/>
      <c r="AQ30" s="152"/>
      <c r="AR30" s="152"/>
      <c r="AS30" s="152"/>
      <c r="AT30" s="152"/>
      <c r="AU30" s="155"/>
      <c r="AV30" s="152"/>
      <c r="AW30" s="152"/>
      <c r="AX30" s="152"/>
      <c r="AY30" s="152"/>
      <c r="AZ30" s="152"/>
      <c r="BA30" s="154"/>
      <c r="BB30" s="152"/>
      <c r="BC30" s="152"/>
      <c r="BD30" s="152"/>
      <c r="BE30" s="152"/>
      <c r="BF30" s="152"/>
      <c r="BG30" s="155"/>
      <c r="BH30" s="152"/>
      <c r="BI30" s="152"/>
      <c r="BJ30" s="152"/>
      <c r="BK30" s="152"/>
      <c r="BL30" s="152"/>
      <c r="BM30" s="156"/>
      <c r="BN30" s="31"/>
      <c r="BO30" s="32"/>
      <c r="BP30" s="32"/>
      <c r="BQ30" s="152"/>
      <c r="BR30" s="152"/>
      <c r="BS30" s="153"/>
      <c r="BT30" s="152"/>
      <c r="BU30" s="152"/>
      <c r="BV30" s="15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75"/>
    </row>
    <row r="31" spans="1:186" ht="20.100000000000001" customHeight="1" x14ac:dyDescent="0.25">
      <c r="A31" s="84" t="s">
        <v>24</v>
      </c>
      <c r="B31" s="53" t="str">
        <f>IF(LEN(C47)=0,"",C47)</f>
        <v/>
      </c>
      <c r="C31" s="170" t="s">
        <v>57</v>
      </c>
      <c r="D31" s="129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75"/>
    </row>
    <row r="32" spans="1:186" ht="20.100000000000001" customHeight="1" x14ac:dyDescent="0.3">
      <c r="A32" s="84" t="s">
        <v>25</v>
      </c>
      <c r="B32" s="53" t="str">
        <f>IF(LEN(C49)=0,"",C49)</f>
        <v/>
      </c>
      <c r="C32" s="171"/>
      <c r="D32" s="131" t="str">
        <f t="shared" si="0"/>
        <v>0h15min</v>
      </c>
      <c r="E32" s="22">
        <v>3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150"/>
      <c r="BO32" s="151"/>
      <c r="BP32" s="151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75"/>
    </row>
    <row r="33" spans="1:186" ht="20.100000000000001" customHeight="1" x14ac:dyDescent="0.25">
      <c r="A33" s="84" t="s">
        <v>24</v>
      </c>
      <c r="B33" s="53" t="str">
        <f>IF(LEN(C51)=0,"",C51)</f>
        <v/>
      </c>
      <c r="C33" s="170" t="s">
        <v>61</v>
      </c>
      <c r="D33" s="129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75"/>
    </row>
    <row r="34" spans="1:186" ht="20.100000000000001" customHeight="1" x14ac:dyDescent="0.3">
      <c r="A34" s="84" t="s">
        <v>25</v>
      </c>
      <c r="B34" s="53" t="str">
        <f>IF(LEN(C53)=0,"",C53)</f>
        <v/>
      </c>
      <c r="C34" s="171"/>
      <c r="D34" s="131" t="str">
        <f t="shared" si="0"/>
        <v>2h</v>
      </c>
      <c r="E34" s="30">
        <v>24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152"/>
      <c r="BX34" s="152"/>
      <c r="BY34" s="154"/>
      <c r="BZ34" s="152"/>
      <c r="CA34" s="152"/>
      <c r="CB34" s="152"/>
      <c r="CC34" s="152"/>
      <c r="CD34" s="152"/>
      <c r="CE34" s="155"/>
      <c r="CF34" s="152"/>
      <c r="CG34" s="152"/>
      <c r="CH34" s="152"/>
      <c r="CI34" s="152"/>
      <c r="CJ34" s="152"/>
      <c r="CK34" s="154"/>
      <c r="CL34" s="152"/>
      <c r="CM34" s="152"/>
      <c r="CN34" s="152"/>
      <c r="CO34" s="152"/>
      <c r="CP34" s="152"/>
      <c r="CQ34" s="155"/>
      <c r="CR34" s="152"/>
      <c r="CS34" s="152"/>
      <c r="CT34" s="15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75"/>
    </row>
    <row r="35" spans="1:186" ht="20.100000000000001" customHeight="1" x14ac:dyDescent="0.25">
      <c r="A35" s="84" t="s">
        <v>24</v>
      </c>
      <c r="B35" s="53" t="str">
        <f>IF(LEN(C55)=0,"",C55)</f>
        <v/>
      </c>
      <c r="C35" s="170"/>
      <c r="D35" s="129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75"/>
    </row>
    <row r="36" spans="1:186" ht="20.100000000000001" customHeight="1" x14ac:dyDescent="0.25">
      <c r="A36" s="84" t="s">
        <v>25</v>
      </c>
      <c r="B36" s="53" t="str">
        <f>IF(LEN(C57)=0,"",C57)</f>
        <v/>
      </c>
      <c r="C36" s="172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75"/>
    </row>
    <row r="37" spans="1:186" ht="20.100000000000001" customHeight="1" x14ac:dyDescent="0.25">
      <c r="A37" s="84" t="s">
        <v>24</v>
      </c>
      <c r="B37" s="53" t="str">
        <f>IF(LEN(C59)=0,"",C59)</f>
        <v/>
      </c>
      <c r="C37" s="170"/>
      <c r="D37" s="129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75"/>
    </row>
    <row r="38" spans="1:186" ht="20.100000000000001" customHeight="1" x14ac:dyDescent="0.3">
      <c r="A38" s="84" t="s">
        <v>25</v>
      </c>
      <c r="B38" s="53" t="str">
        <f>IF(LEN(C61)=0,"",C61)</f>
        <v/>
      </c>
      <c r="C38" s="171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75"/>
    </row>
    <row r="39" spans="1:186" ht="20.100000000000001" customHeight="1" x14ac:dyDescent="0.25">
      <c r="A39" s="84" t="s">
        <v>24</v>
      </c>
      <c r="B39" s="53" t="str">
        <f>IF(LEN(C63)=0,"",C63)</f>
        <v/>
      </c>
      <c r="C39" s="170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75"/>
    </row>
    <row r="40" spans="1:186" ht="20.100000000000001" customHeight="1" x14ac:dyDescent="0.25">
      <c r="A40" s="84" t="s">
        <v>25</v>
      </c>
      <c r="B40" s="53" t="str">
        <f>IF(LEN(C65)=0,"",C65)</f>
        <v/>
      </c>
      <c r="C40" s="172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75"/>
    </row>
    <row r="41" spans="1:186" ht="20.100000000000001" customHeight="1" x14ac:dyDescent="0.25">
      <c r="A41" s="84" t="s">
        <v>24</v>
      </c>
      <c r="B41" s="53" t="str">
        <f>IF(LEN(C67)=0,"",C67)</f>
        <v/>
      </c>
      <c r="C41" s="170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75"/>
    </row>
    <row r="42" spans="1:186" ht="20.100000000000001" customHeight="1" x14ac:dyDescent="0.3">
      <c r="A42" s="84" t="s">
        <v>25</v>
      </c>
      <c r="B42" s="53" t="str">
        <f>IF(LEN(C69)=0,"",C69)</f>
        <v/>
      </c>
      <c r="C42" s="171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75"/>
    </row>
    <row r="43" spans="1:186" ht="20.100000000000001" customHeight="1" x14ac:dyDescent="0.25">
      <c r="A43" s="84" t="s">
        <v>24</v>
      </c>
      <c r="B43" s="53" t="str">
        <f>IF(LEN(C71)=0,"",C71)</f>
        <v/>
      </c>
      <c r="C43" s="170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75"/>
    </row>
    <row r="44" spans="1:186" ht="20.100000000000001" customHeight="1" x14ac:dyDescent="0.3">
      <c r="A44" s="84" t="s">
        <v>25</v>
      </c>
      <c r="B44" s="53" t="str">
        <f>IF(LEN(C73)=0,"",C73)</f>
        <v/>
      </c>
      <c r="C44" s="171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75"/>
    </row>
    <row r="45" spans="1:186" ht="20.100000000000001" customHeight="1" x14ac:dyDescent="0.25">
      <c r="A45" s="84" t="s">
        <v>24</v>
      </c>
      <c r="B45" s="53" t="str">
        <f>IF(LEN(C75)=0,"",C75)</f>
        <v/>
      </c>
      <c r="C45" s="170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75"/>
    </row>
    <row r="46" spans="1:186" ht="20.100000000000001" customHeight="1" x14ac:dyDescent="0.25">
      <c r="A46" s="84" t="s">
        <v>25</v>
      </c>
      <c r="B46" s="53" t="str">
        <f>IF(LEN(C77)=0,"",C77)</f>
        <v/>
      </c>
      <c r="C46" s="172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75"/>
    </row>
    <row r="47" spans="1:186" ht="20.100000000000001" customHeight="1" x14ac:dyDescent="0.25">
      <c r="A47" s="84" t="s">
        <v>24</v>
      </c>
      <c r="B47" s="53" t="str">
        <f>IF(LEN(C79)=0,"",C79)</f>
        <v/>
      </c>
      <c r="C47" s="170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75"/>
    </row>
    <row r="48" spans="1:186" ht="20.100000000000001" customHeight="1" x14ac:dyDescent="0.3">
      <c r="A48" s="84" t="s">
        <v>25</v>
      </c>
      <c r="B48" s="53" t="str">
        <f>IF(LEN(C81)=0,"",C81)</f>
        <v/>
      </c>
      <c r="C48" s="171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75"/>
    </row>
    <row r="49" spans="1:186" ht="20.100000000000001" customHeight="1" x14ac:dyDescent="0.25">
      <c r="A49" s="84" t="s">
        <v>24</v>
      </c>
      <c r="B49" s="53" t="str">
        <f>IF(LEN(C83)=0,"",C83)</f>
        <v/>
      </c>
      <c r="C49" s="170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75"/>
    </row>
    <row r="50" spans="1:186" ht="20.100000000000001" customHeight="1" x14ac:dyDescent="0.3">
      <c r="A50" s="84" t="s">
        <v>25</v>
      </c>
      <c r="B50" s="53" t="str">
        <f>IF(LEN(C85)=0,"",C85)</f>
        <v/>
      </c>
      <c r="C50" s="171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75"/>
    </row>
    <row r="51" spans="1:186" ht="20.100000000000001" customHeight="1" x14ac:dyDescent="0.25">
      <c r="A51" s="84" t="s">
        <v>24</v>
      </c>
      <c r="B51" s="53" t="str">
        <f>IF(LEN(C87)=0,"",C87)</f>
        <v/>
      </c>
      <c r="C51" s="170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75"/>
    </row>
    <row r="52" spans="1:186" ht="20.100000000000001" customHeight="1" x14ac:dyDescent="0.25">
      <c r="A52" s="84" t="s">
        <v>25</v>
      </c>
      <c r="B52" s="53" t="str">
        <f>IF(LEN(C89)=0,"",C89)</f>
        <v/>
      </c>
      <c r="C52" s="172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75"/>
    </row>
    <row r="53" spans="1:186" ht="20.100000000000001" customHeight="1" x14ac:dyDescent="0.25">
      <c r="A53" s="84" t="s">
        <v>24</v>
      </c>
      <c r="B53" s="53" t="str">
        <f>IF(LEN(C91)=0,"",C91)</f>
        <v/>
      </c>
      <c r="C53" s="170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75"/>
    </row>
    <row r="54" spans="1:186" ht="20.100000000000001" customHeight="1" x14ac:dyDescent="0.3">
      <c r="A54" s="84" t="s">
        <v>25</v>
      </c>
      <c r="B54" s="53" t="str">
        <f>IF(LEN(C93)=0,"",C93)</f>
        <v/>
      </c>
      <c r="C54" s="171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75"/>
    </row>
    <row r="55" spans="1:186" ht="20.100000000000001" customHeight="1" x14ac:dyDescent="0.25">
      <c r="A55" s="84" t="s">
        <v>24</v>
      </c>
      <c r="B55" s="53"/>
      <c r="C55" s="170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75"/>
    </row>
    <row r="56" spans="1:186" ht="20.100000000000001" customHeight="1" x14ac:dyDescent="0.25">
      <c r="A56" s="84" t="s">
        <v>25</v>
      </c>
      <c r="B56" s="53"/>
      <c r="C56" s="172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75"/>
    </row>
    <row r="57" spans="1:186" ht="20.100000000000001" customHeight="1" x14ac:dyDescent="0.25">
      <c r="A57" s="84" t="s">
        <v>24</v>
      </c>
      <c r="B57" s="53"/>
      <c r="C57" s="170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75"/>
    </row>
    <row r="58" spans="1:186" ht="20.100000000000001" customHeight="1" x14ac:dyDescent="0.3">
      <c r="A58" s="84" t="s">
        <v>25</v>
      </c>
      <c r="B58" s="53"/>
      <c r="C58" s="171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75"/>
    </row>
    <row r="59" spans="1:186" ht="20.100000000000001" customHeight="1" x14ac:dyDescent="0.25">
      <c r="A59" s="84" t="s">
        <v>24</v>
      </c>
      <c r="B59" s="53"/>
      <c r="C59" s="170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75"/>
    </row>
    <row r="60" spans="1:186" ht="20.100000000000001" customHeight="1" x14ac:dyDescent="0.3">
      <c r="A60" s="84" t="s">
        <v>25</v>
      </c>
      <c r="B60" s="53"/>
      <c r="C60" s="171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75"/>
    </row>
    <row r="61" spans="1:186" ht="20.100000000000001" customHeight="1" x14ac:dyDescent="0.25">
      <c r="A61" s="84" t="s">
        <v>24</v>
      </c>
      <c r="B61" s="53"/>
      <c r="C61" s="170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75"/>
    </row>
    <row r="62" spans="1:186" ht="20.100000000000001" customHeight="1" x14ac:dyDescent="0.25">
      <c r="A62" s="84" t="s">
        <v>25</v>
      </c>
      <c r="B62" s="53"/>
      <c r="C62" s="172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75"/>
    </row>
    <row r="63" spans="1:186" ht="20.100000000000001" customHeight="1" x14ac:dyDescent="0.25">
      <c r="A63" s="84" t="s">
        <v>24</v>
      </c>
      <c r="B63" s="53"/>
      <c r="C63" s="170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75"/>
    </row>
    <row r="64" spans="1:186" ht="20.100000000000001" customHeight="1" x14ac:dyDescent="0.3">
      <c r="A64" s="84" t="s">
        <v>25</v>
      </c>
      <c r="B64" s="53"/>
      <c r="C64" s="171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75"/>
    </row>
    <row r="65" spans="1:186" ht="20.100000000000001" customHeight="1" x14ac:dyDescent="0.25">
      <c r="A65" s="84" t="s">
        <v>24</v>
      </c>
      <c r="B65" s="53"/>
      <c r="C65" s="170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75"/>
    </row>
    <row r="66" spans="1:186" ht="20.100000000000001" customHeight="1" x14ac:dyDescent="0.3">
      <c r="A66" s="84" t="s">
        <v>25</v>
      </c>
      <c r="B66" s="53"/>
      <c r="C66" s="171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75"/>
    </row>
    <row r="67" spans="1:186" ht="20.100000000000001" customHeight="1" x14ac:dyDescent="0.25">
      <c r="A67" s="84" t="s">
        <v>24</v>
      </c>
      <c r="B67" s="53"/>
      <c r="C67" s="170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75"/>
    </row>
    <row r="68" spans="1:186" ht="20.100000000000001" customHeight="1" x14ac:dyDescent="0.25">
      <c r="A68" s="84" t="s">
        <v>25</v>
      </c>
      <c r="B68" s="53"/>
      <c r="C68" s="172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75"/>
    </row>
    <row r="69" spans="1:186" ht="20.100000000000001" customHeight="1" x14ac:dyDescent="0.25">
      <c r="A69" s="84" t="s">
        <v>24</v>
      </c>
      <c r="B69" s="53"/>
      <c r="C69" s="170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75"/>
    </row>
    <row r="70" spans="1:186" ht="20.100000000000001" customHeight="1" x14ac:dyDescent="0.3">
      <c r="A70" s="84" t="s">
        <v>25</v>
      </c>
      <c r="B70" s="53"/>
      <c r="C70" s="171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75"/>
    </row>
    <row r="71" spans="1:186" ht="20.100000000000001" customHeight="1" x14ac:dyDescent="0.25">
      <c r="A71" s="84" t="s">
        <v>24</v>
      </c>
      <c r="B71" s="53"/>
      <c r="C71" s="170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75"/>
    </row>
    <row r="72" spans="1:186" ht="20.100000000000001" customHeight="1" x14ac:dyDescent="0.25">
      <c r="A72" s="84" t="s">
        <v>25</v>
      </c>
      <c r="B72" s="53"/>
      <c r="C72" s="172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75"/>
    </row>
    <row r="73" spans="1:186" ht="20.100000000000001" customHeight="1" x14ac:dyDescent="0.25">
      <c r="A73" s="84" t="s">
        <v>24</v>
      </c>
      <c r="B73" s="53"/>
      <c r="C73" s="170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75"/>
    </row>
    <row r="74" spans="1:186" ht="20.100000000000001" customHeight="1" x14ac:dyDescent="0.3">
      <c r="A74" s="84" t="s">
        <v>25</v>
      </c>
      <c r="B74" s="53"/>
      <c r="C74" s="171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75"/>
    </row>
    <row r="75" spans="1:186" ht="20.100000000000001" customHeight="1" x14ac:dyDescent="0.25">
      <c r="A75" s="84" t="s">
        <v>24</v>
      </c>
      <c r="B75" s="53"/>
      <c r="C75" s="170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75"/>
    </row>
    <row r="76" spans="1:186" ht="20.100000000000001" customHeight="1" x14ac:dyDescent="0.3">
      <c r="A76" s="84" t="s">
        <v>25</v>
      </c>
      <c r="B76" s="53"/>
      <c r="C76" s="171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75"/>
    </row>
    <row r="77" spans="1:186" ht="20.100000000000001" customHeight="1" x14ac:dyDescent="0.25">
      <c r="A77" s="84" t="s">
        <v>24</v>
      </c>
      <c r="B77" s="53"/>
      <c r="C77" s="170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75"/>
    </row>
    <row r="78" spans="1:186" ht="20.100000000000001" customHeight="1" x14ac:dyDescent="0.25">
      <c r="A78" s="84" t="s">
        <v>25</v>
      </c>
      <c r="B78" s="53"/>
      <c r="C78" s="172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75"/>
    </row>
    <row r="79" spans="1:186" ht="20.100000000000001" customHeight="1" x14ac:dyDescent="0.25">
      <c r="A79" s="84" t="s">
        <v>24</v>
      </c>
      <c r="B79" s="53"/>
      <c r="C79" s="170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75"/>
    </row>
    <row r="80" spans="1:186" ht="20.100000000000001" customHeight="1" x14ac:dyDescent="0.3">
      <c r="A80" s="84" t="s">
        <v>25</v>
      </c>
      <c r="B80" s="53"/>
      <c r="C80" s="171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75"/>
    </row>
    <row r="81" spans="1:186" ht="20.100000000000001" customHeight="1" x14ac:dyDescent="0.25">
      <c r="A81" s="84" t="s">
        <v>24</v>
      </c>
      <c r="B81" s="53"/>
      <c r="C81" s="170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75"/>
    </row>
    <row r="82" spans="1:186" ht="20.100000000000001" customHeight="1" x14ac:dyDescent="0.3">
      <c r="A82" s="84" t="s">
        <v>25</v>
      </c>
      <c r="B82" s="53"/>
      <c r="C82" s="171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75"/>
    </row>
    <row r="83" spans="1:186" ht="20.100000000000001" customHeight="1" x14ac:dyDescent="0.25">
      <c r="A83" s="84" t="s">
        <v>24</v>
      </c>
      <c r="B83" s="53"/>
      <c r="C83" s="170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75"/>
    </row>
    <row r="84" spans="1:186" ht="20.100000000000001" customHeight="1" x14ac:dyDescent="0.25">
      <c r="A84" s="84" t="s">
        <v>25</v>
      </c>
      <c r="B84" s="53"/>
      <c r="C84" s="172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75"/>
    </row>
    <row r="85" spans="1:186" ht="20.100000000000001" customHeight="1" x14ac:dyDescent="0.25">
      <c r="A85" s="84" t="s">
        <v>24</v>
      </c>
      <c r="B85" s="53"/>
      <c r="C85" s="170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75"/>
    </row>
    <row r="86" spans="1:186" ht="20.100000000000001" customHeight="1" x14ac:dyDescent="0.3">
      <c r="A86" s="84" t="s">
        <v>25</v>
      </c>
      <c r="B86" s="53"/>
      <c r="C86" s="171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75"/>
    </row>
    <row r="87" spans="1:186" ht="20.100000000000001" customHeight="1" x14ac:dyDescent="0.25">
      <c r="A87" s="84" t="s">
        <v>24</v>
      </c>
      <c r="B87" s="53"/>
      <c r="C87" s="170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75"/>
    </row>
    <row r="88" spans="1:186" ht="20.100000000000001" customHeight="1" x14ac:dyDescent="0.25">
      <c r="A88" s="84" t="s">
        <v>25</v>
      </c>
      <c r="B88" s="53"/>
      <c r="C88" s="172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75"/>
    </row>
    <row r="89" spans="1:186" ht="20.100000000000001" customHeight="1" x14ac:dyDescent="0.25">
      <c r="A89" s="84" t="s">
        <v>24</v>
      </c>
      <c r="B89" s="53"/>
      <c r="C89" s="170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75"/>
    </row>
    <row r="90" spans="1:186" ht="20.100000000000001" customHeight="1" x14ac:dyDescent="0.3">
      <c r="A90" s="84" t="s">
        <v>25</v>
      </c>
      <c r="B90" s="53"/>
      <c r="C90" s="171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75"/>
    </row>
    <row r="91" spans="1:186" ht="20.100000000000001" customHeight="1" x14ac:dyDescent="0.25">
      <c r="A91" s="84" t="s">
        <v>24</v>
      </c>
      <c r="B91" s="53"/>
      <c r="C91" s="170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75"/>
    </row>
    <row r="92" spans="1:186" ht="20.100000000000001" customHeight="1" x14ac:dyDescent="0.3">
      <c r="A92" s="84" t="s">
        <v>25</v>
      </c>
      <c r="B92" s="53"/>
      <c r="C92" s="171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75"/>
    </row>
    <row r="93" spans="1:186" ht="20.100000000000001" customHeight="1" x14ac:dyDescent="0.25">
      <c r="A93" s="84" t="s">
        <v>24</v>
      </c>
      <c r="B93" s="53"/>
      <c r="C93" s="170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75"/>
    </row>
    <row r="94" spans="1:186" ht="20.100000000000001" customHeight="1" x14ac:dyDescent="0.25">
      <c r="A94" s="84" t="s">
        <v>25</v>
      </c>
      <c r="B94" s="53"/>
      <c r="C94" s="172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75"/>
    </row>
    <row r="95" spans="1:186" ht="20.100000000000001" customHeight="1" x14ac:dyDescent="0.25">
      <c r="B95" s="53"/>
      <c r="C95" s="166" t="s">
        <v>9</v>
      </c>
      <c r="D95" s="167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75"/>
    </row>
    <row r="96" spans="1:186" ht="20.100000000000001" customHeight="1" thickBot="1" x14ac:dyDescent="0.3">
      <c r="B96" s="53"/>
      <c r="C96" s="168"/>
      <c r="D96" s="169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75"/>
    </row>
    <row r="97" spans="2:186" ht="20.100000000000001" customHeight="1" x14ac:dyDescent="0.25">
      <c r="B97" s="53"/>
      <c r="C97" s="173" t="s">
        <v>10</v>
      </c>
      <c r="D97" s="174"/>
      <c r="E97" s="102">
        <f>SUM(E16,E18,E20,E22,E24,E26,E28,E30,E32,E34,E36,E38,E40,E42,E44,E46,E48,E50,E52,E54,E56,E58,E60,E62,E64,E66,E68,E70,E72,E74,E76,E78,E80,E82,E84,E86,E88,E90,E92,E94)</f>
        <v>93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108"/>
    </row>
    <row r="98" spans="2:186" ht="20.100000000000001" customHeight="1" thickBot="1" x14ac:dyDescent="0.3">
      <c r="B98" s="53"/>
      <c r="C98" s="175"/>
      <c r="D98" s="176"/>
      <c r="E98" s="106" t="str">
        <f xml:space="preserve"> setValueToTime(E97)</f>
        <v>7h45min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75"/>
    </row>
    <row r="99" spans="2:18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6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4:4" ht="49.5" customHeight="1" x14ac:dyDescent="0.3">
      <c r="D1" s="5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73"/>
  <sheetViews>
    <sheetView showGridLines="0" tabSelected="1" zoomScaleNormal="100" zoomScaleSheetLayoutView="98" workbookViewId="0">
      <pane ySplit="1" topLeftCell="A31" activePane="bottomLeft" state="frozen"/>
      <selection pane="bottomLeft" activeCell="E35" sqref="E35:F35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8554687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16</v>
      </c>
      <c r="B2" s="147">
        <v>6</v>
      </c>
      <c r="C2" s="147"/>
      <c r="D2" s="140" t="s">
        <v>19</v>
      </c>
      <c r="E2" s="141">
        <v>45279</v>
      </c>
      <c r="F2" s="142"/>
      <c r="G2" s="39"/>
    </row>
    <row r="3" spans="1:7" s="40" customFormat="1" ht="30" customHeight="1" thickBot="1" x14ac:dyDescent="0.3">
      <c r="A3" s="63" t="s">
        <v>5</v>
      </c>
      <c r="B3" s="144" t="s">
        <v>46</v>
      </c>
      <c r="C3" s="143"/>
      <c r="D3" s="63" t="s">
        <v>17</v>
      </c>
      <c r="E3" s="199" t="s">
        <v>18</v>
      </c>
      <c r="F3" s="200"/>
      <c r="G3" s="39"/>
    </row>
    <row r="4" spans="1:7" s="44" customFormat="1" x14ac:dyDescent="0.3">
      <c r="A4" s="41"/>
      <c r="B4" s="42">
        <v>2</v>
      </c>
      <c r="C4" s="135" t="str">
        <f xml:space="preserve"> IF(B4="","",setValueToTime(B4))</f>
        <v>0h10min</v>
      </c>
      <c r="D4" s="43" t="s">
        <v>69</v>
      </c>
      <c r="E4" s="201"/>
      <c r="F4" s="202"/>
      <c r="G4" s="3"/>
    </row>
    <row r="5" spans="1:7" s="44" customFormat="1" x14ac:dyDescent="0.3">
      <c r="A5" s="45"/>
      <c r="B5" s="46">
        <v>1</v>
      </c>
      <c r="C5" s="136" t="str">
        <f t="shared" ref="C5:C11" si="0" xml:space="preserve"> IF(B5="","",setValueToTime(B5))</f>
        <v>0h5min</v>
      </c>
      <c r="D5" s="149" t="s">
        <v>70</v>
      </c>
      <c r="E5" s="193"/>
      <c r="F5" s="194"/>
      <c r="G5" s="3"/>
    </row>
    <row r="6" spans="1:7" s="44" customFormat="1" x14ac:dyDescent="0.3">
      <c r="A6" s="45"/>
      <c r="B6" s="46">
        <v>20</v>
      </c>
      <c r="C6" s="136" t="str">
        <f t="shared" si="0"/>
        <v>1h40min</v>
      </c>
      <c r="D6" s="47" t="s">
        <v>71</v>
      </c>
      <c r="E6" s="193"/>
      <c r="F6" s="194"/>
      <c r="G6" s="3"/>
    </row>
    <row r="7" spans="1:7" s="44" customFormat="1" x14ac:dyDescent="0.3">
      <c r="A7" s="45"/>
      <c r="B7" s="46">
        <v>3</v>
      </c>
      <c r="C7" s="136" t="str">
        <f t="shared" si="0"/>
        <v>0h15min</v>
      </c>
      <c r="D7" s="47" t="s">
        <v>72</v>
      </c>
      <c r="E7" s="193"/>
      <c r="F7" s="194"/>
      <c r="G7" s="3"/>
    </row>
    <row r="8" spans="1:7" s="44" customFormat="1" x14ac:dyDescent="0.3">
      <c r="A8" s="46"/>
      <c r="B8" s="46">
        <v>16</v>
      </c>
      <c r="C8" s="137" t="str">
        <f t="shared" si="0"/>
        <v>1h20min</v>
      </c>
      <c r="D8" s="47" t="s">
        <v>73</v>
      </c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3"/>
      <c r="F10" s="194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5"/>
      <c r="F11" s="196"/>
      <c r="G11" s="3"/>
    </row>
    <row r="12" spans="1:7" s="44" customFormat="1" ht="15" thickBot="1" x14ac:dyDescent="0.35">
      <c r="A12" s="145" t="s">
        <v>33</v>
      </c>
      <c r="B12" s="68">
        <f>SUM(B4:B11)</f>
        <v>42</v>
      </c>
      <c r="C12" s="145" t="str">
        <f xml:space="preserve"> setValueToTime(B12)</f>
        <v>3h30min</v>
      </c>
      <c r="D12" s="105"/>
      <c r="E12" s="197"/>
      <c r="F12" s="198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16</v>
      </c>
      <c r="B14" s="147">
        <v>5</v>
      </c>
      <c r="C14" s="147"/>
      <c r="D14" s="140" t="s">
        <v>19</v>
      </c>
      <c r="E14" s="141">
        <v>45272</v>
      </c>
      <c r="F14" s="142"/>
      <c r="G14" s="39"/>
    </row>
    <row r="15" spans="1:7" s="40" customFormat="1" ht="30" customHeight="1" thickBot="1" x14ac:dyDescent="0.3">
      <c r="A15" s="63" t="s">
        <v>5</v>
      </c>
      <c r="B15" s="144" t="s">
        <v>46</v>
      </c>
      <c r="C15" s="143"/>
      <c r="D15" s="63" t="s">
        <v>17</v>
      </c>
      <c r="E15" s="199" t="s">
        <v>18</v>
      </c>
      <c r="F15" s="200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01"/>
      <c r="F16" s="202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193"/>
      <c r="F17" s="194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3"/>
      <c r="F18" s="194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3"/>
      <c r="F19" s="194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3"/>
      <c r="F20" s="194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3"/>
      <c r="F21" s="194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3"/>
      <c r="F22" s="194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5"/>
      <c r="F23" s="196"/>
      <c r="G23" s="3"/>
    </row>
    <row r="24" spans="1:7" s="44" customFormat="1" ht="15" thickBot="1" x14ac:dyDescent="0.35">
      <c r="A24" s="145" t="s">
        <v>33</v>
      </c>
      <c r="B24" s="68">
        <f>SUM(B16:B23)</f>
        <v>0</v>
      </c>
      <c r="C24" s="145" t="str">
        <f xml:space="preserve"> setValueToTime(B24)</f>
        <v>0h</v>
      </c>
      <c r="D24" s="105"/>
      <c r="E24" s="197"/>
      <c r="F24" s="198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16</v>
      </c>
      <c r="B26" s="147">
        <v>4</v>
      </c>
      <c r="C26" s="147"/>
      <c r="D26" s="140" t="s">
        <v>19</v>
      </c>
      <c r="E26" s="141">
        <v>45265</v>
      </c>
      <c r="F26" s="142"/>
      <c r="G26" s="39"/>
    </row>
    <row r="27" spans="1:7" s="40" customFormat="1" ht="30" customHeight="1" thickBot="1" x14ac:dyDescent="0.3">
      <c r="A27" s="63" t="s">
        <v>5</v>
      </c>
      <c r="B27" s="144" t="s">
        <v>46</v>
      </c>
      <c r="C27" s="143"/>
      <c r="D27" s="63" t="s">
        <v>17</v>
      </c>
      <c r="E27" s="199" t="s">
        <v>18</v>
      </c>
      <c r="F27" s="200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01"/>
      <c r="F28" s="202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193"/>
      <c r="F29" s="194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3"/>
      <c r="F30" s="194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3"/>
      <c r="F31" s="194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3"/>
      <c r="F32" s="194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3"/>
      <c r="F33" s="194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3"/>
      <c r="F34" s="194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5"/>
      <c r="F35" s="196"/>
      <c r="G35" s="3"/>
    </row>
    <row r="36" spans="1:7" s="44" customFormat="1" ht="15" thickBot="1" x14ac:dyDescent="0.35">
      <c r="A36" s="145" t="s">
        <v>33</v>
      </c>
      <c r="B36" s="68">
        <f>SUM(B28:B35)</f>
        <v>0</v>
      </c>
      <c r="C36" s="145" t="str">
        <f xml:space="preserve"> setValueToTime(B36)</f>
        <v>0h</v>
      </c>
      <c r="D36" s="105"/>
      <c r="E36" s="197"/>
      <c r="F36" s="198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16</v>
      </c>
      <c r="B38" s="147">
        <v>3</v>
      </c>
      <c r="C38" s="147"/>
      <c r="D38" s="140" t="s">
        <v>19</v>
      </c>
      <c r="E38" s="141">
        <v>45251</v>
      </c>
      <c r="F38" s="142"/>
      <c r="G38" s="39"/>
    </row>
    <row r="39" spans="1:7" s="40" customFormat="1" ht="30" customHeight="1" thickBot="1" x14ac:dyDescent="0.3">
      <c r="A39" s="63" t="s">
        <v>5</v>
      </c>
      <c r="B39" s="144" t="s">
        <v>46</v>
      </c>
      <c r="C39" s="143"/>
      <c r="D39" s="63" t="s">
        <v>17</v>
      </c>
      <c r="E39" s="199" t="s">
        <v>18</v>
      </c>
      <c r="F39" s="200"/>
      <c r="G39" s="39"/>
    </row>
    <row r="40" spans="1:7" s="44" customFormat="1" x14ac:dyDescent="0.3">
      <c r="A40" s="41" t="s">
        <v>61</v>
      </c>
      <c r="B40" s="42">
        <v>40</v>
      </c>
      <c r="C40" s="135" t="str">
        <f xml:space="preserve"> IF(B40="","",setValueToTime(B40))</f>
        <v>3h20min</v>
      </c>
      <c r="D40" s="148" t="s">
        <v>66</v>
      </c>
      <c r="E40" s="201"/>
      <c r="F40" s="202"/>
      <c r="G40" s="3"/>
    </row>
    <row r="41" spans="1:7" s="44" customFormat="1" x14ac:dyDescent="0.3">
      <c r="A41" s="45" t="s">
        <v>57</v>
      </c>
      <c r="B41" s="46">
        <v>10</v>
      </c>
      <c r="C41" s="136" t="str">
        <f t="shared" ref="C41:C47" si="3" xml:space="preserve"> IF(B41="","",setValueToTime(B41))</f>
        <v>0h50min</v>
      </c>
      <c r="D41" s="149" t="s">
        <v>67</v>
      </c>
      <c r="E41" s="193"/>
      <c r="F41" s="194"/>
      <c r="G41" s="3"/>
    </row>
    <row r="42" spans="1:7" s="44" customFormat="1" x14ac:dyDescent="0.3">
      <c r="A42" s="45" t="s">
        <v>57</v>
      </c>
      <c r="B42" s="46">
        <v>10</v>
      </c>
      <c r="C42" s="136" t="str">
        <f t="shared" si="3"/>
        <v>0h50min</v>
      </c>
      <c r="D42" s="149" t="s">
        <v>68</v>
      </c>
      <c r="E42" s="193"/>
      <c r="F42" s="194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3"/>
      <c r="F43" s="194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3"/>
      <c r="F44" s="194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3"/>
      <c r="F45" s="194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3"/>
      <c r="F46" s="194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5"/>
      <c r="F47" s="196"/>
      <c r="G47" s="3"/>
    </row>
    <row r="48" spans="1:7" s="44" customFormat="1" ht="15" thickBot="1" x14ac:dyDescent="0.35">
      <c r="A48" s="145" t="s">
        <v>33</v>
      </c>
      <c r="B48" s="68">
        <f>SUM(B40:B47)</f>
        <v>60</v>
      </c>
      <c r="C48" s="145" t="str">
        <f xml:space="preserve"> setValueToTime(B48)</f>
        <v>5h</v>
      </c>
      <c r="D48" s="105"/>
      <c r="E48" s="197"/>
      <c r="F48" s="198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16</v>
      </c>
      <c r="B50" s="147">
        <v>2</v>
      </c>
      <c r="C50" s="147"/>
      <c r="D50" s="140" t="s">
        <v>19</v>
      </c>
      <c r="E50" s="141">
        <v>45244</v>
      </c>
      <c r="F50" s="142"/>
      <c r="G50" s="39"/>
    </row>
    <row r="51" spans="1:7" s="40" customFormat="1" ht="30" customHeight="1" thickBot="1" x14ac:dyDescent="0.3">
      <c r="A51" s="63" t="s">
        <v>5</v>
      </c>
      <c r="B51" s="144" t="s">
        <v>46</v>
      </c>
      <c r="C51" s="143"/>
      <c r="D51" s="63" t="s">
        <v>17</v>
      </c>
      <c r="E51" s="199" t="s">
        <v>18</v>
      </c>
      <c r="F51" s="200"/>
      <c r="G51" s="39"/>
    </row>
    <row r="52" spans="1:7" s="44" customFormat="1" x14ac:dyDescent="0.3">
      <c r="A52" s="41" t="s">
        <v>57</v>
      </c>
      <c r="B52" s="42">
        <v>3</v>
      </c>
      <c r="C52" s="135" t="str">
        <f xml:space="preserve"> IF(B52="","",setValueToTime(B52))</f>
        <v>0h15min</v>
      </c>
      <c r="D52" s="148" t="s">
        <v>58</v>
      </c>
      <c r="E52" s="201"/>
      <c r="F52" s="202"/>
      <c r="G52" s="3"/>
    </row>
    <row r="53" spans="1:7" s="44" customFormat="1" ht="27" x14ac:dyDescent="0.3">
      <c r="A53" s="45" t="s">
        <v>54</v>
      </c>
      <c r="B53" s="46">
        <v>6</v>
      </c>
      <c r="C53" s="136" t="str">
        <f t="shared" ref="C53:C59" si="4" xml:space="preserve"> IF(B53="","",setValueToTime(B53))</f>
        <v>0h30min</v>
      </c>
      <c r="D53" s="149" t="s">
        <v>59</v>
      </c>
      <c r="E53" s="203" t="s">
        <v>60</v>
      </c>
      <c r="F53" s="194"/>
      <c r="G53" s="3"/>
    </row>
    <row r="54" spans="1:7" s="44" customFormat="1" x14ac:dyDescent="0.3">
      <c r="A54" s="45" t="s">
        <v>61</v>
      </c>
      <c r="B54" s="46">
        <v>24</v>
      </c>
      <c r="C54" s="136" t="str">
        <f t="shared" si="4"/>
        <v>2h</v>
      </c>
      <c r="D54" s="149" t="s">
        <v>62</v>
      </c>
      <c r="E54" s="193"/>
      <c r="F54" s="194"/>
      <c r="G54" s="3"/>
    </row>
    <row r="55" spans="1:7" s="44" customFormat="1" x14ac:dyDescent="0.3">
      <c r="A55" s="158" t="s">
        <v>61</v>
      </c>
      <c r="B55" s="46">
        <v>27</v>
      </c>
      <c r="C55" s="136" t="str">
        <f t="shared" si="4"/>
        <v>2h15min</v>
      </c>
      <c r="D55" s="149" t="s">
        <v>65</v>
      </c>
      <c r="E55" s="193"/>
      <c r="F55" s="194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3"/>
      <c r="F56" s="194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3"/>
      <c r="F57" s="194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3"/>
      <c r="F58" s="194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195"/>
      <c r="F59" s="196"/>
      <c r="G59" s="3"/>
    </row>
    <row r="60" spans="1:7" s="44" customFormat="1" ht="15" thickBot="1" x14ac:dyDescent="0.35">
      <c r="A60" s="145" t="s">
        <v>33</v>
      </c>
      <c r="B60" s="68">
        <f>SUM(B52:B59)</f>
        <v>60</v>
      </c>
      <c r="C60" s="145" t="str">
        <f xml:space="preserve"> setValueToTime(B60)</f>
        <v>5h</v>
      </c>
      <c r="D60" s="105"/>
      <c r="E60" s="197"/>
      <c r="F60" s="198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16</v>
      </c>
      <c r="B62" s="147">
        <v>1</v>
      </c>
      <c r="C62" s="147"/>
      <c r="D62" s="140" t="s">
        <v>19</v>
      </c>
      <c r="E62" s="141">
        <v>45237</v>
      </c>
      <c r="F62" s="142"/>
      <c r="G62" s="39"/>
    </row>
    <row r="63" spans="1:7" s="40" customFormat="1" ht="30" customHeight="1" thickBot="1" x14ac:dyDescent="0.3">
      <c r="A63" s="63" t="s">
        <v>5</v>
      </c>
      <c r="B63" s="144" t="s">
        <v>46</v>
      </c>
      <c r="C63" s="143"/>
      <c r="D63" s="63" t="s">
        <v>17</v>
      </c>
      <c r="E63" s="199" t="s">
        <v>18</v>
      </c>
      <c r="F63" s="200"/>
      <c r="G63" s="39"/>
    </row>
    <row r="64" spans="1:7" s="44" customFormat="1" x14ac:dyDescent="0.3">
      <c r="A64" s="41" t="s">
        <v>51</v>
      </c>
      <c r="B64" s="42">
        <v>4</v>
      </c>
      <c r="C64" s="135" t="str">
        <f xml:space="preserve"> IF(B64="","",setValueToTime(B64))</f>
        <v>0h20min</v>
      </c>
      <c r="D64" s="148" t="s">
        <v>52</v>
      </c>
      <c r="E64" s="201"/>
      <c r="F64" s="202"/>
      <c r="G64" s="3"/>
    </row>
    <row r="65" spans="1:7" s="44" customFormat="1" ht="29.25" customHeight="1" x14ac:dyDescent="0.3">
      <c r="A65" s="45" t="s">
        <v>50</v>
      </c>
      <c r="B65" s="46">
        <v>20</v>
      </c>
      <c r="C65" s="136" t="str">
        <f t="shared" ref="C65:C71" si="5" xml:space="preserve"> IF(B65="","",setValueToTime(B65))</f>
        <v>1h40min</v>
      </c>
      <c r="D65" s="149" t="s">
        <v>53</v>
      </c>
      <c r="E65" s="193"/>
      <c r="F65" s="194"/>
      <c r="G65" s="3"/>
    </row>
    <row r="66" spans="1:7" s="44" customFormat="1" x14ac:dyDescent="0.3">
      <c r="A66" s="45" t="s">
        <v>54</v>
      </c>
      <c r="B66" s="46">
        <v>36</v>
      </c>
      <c r="C66" s="136" t="str">
        <f t="shared" si="5"/>
        <v>3h</v>
      </c>
      <c r="D66" s="149" t="s">
        <v>55</v>
      </c>
      <c r="E66" s="204" t="s">
        <v>56</v>
      </c>
      <c r="F66" s="194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3"/>
      <c r="F67" s="194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3"/>
      <c r="F68" s="194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3"/>
      <c r="F69" s="194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3"/>
      <c r="F70" s="194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5"/>
      <c r="F71" s="196"/>
      <c r="G71" s="3"/>
    </row>
    <row r="72" spans="1:7" s="44" customFormat="1" ht="15" thickBot="1" x14ac:dyDescent="0.35">
      <c r="A72" s="145" t="s">
        <v>33</v>
      </c>
      <c r="B72" s="68">
        <f>SUM(B64:B71)</f>
        <v>60</v>
      </c>
      <c r="C72" s="145" t="str">
        <f xml:space="preserve"> setValueToTime(B72)</f>
        <v>5h</v>
      </c>
      <c r="D72" s="105"/>
      <c r="E72" s="197"/>
      <c r="F72" s="198"/>
      <c r="G72" s="3"/>
    </row>
    <row r="73" spans="1:7" s="44" customFormat="1" x14ac:dyDescent="0.3">
      <c r="A73" s="62"/>
      <c r="B73" s="62"/>
      <c r="C73" s="62"/>
      <c r="D73" s="62"/>
      <c r="E73" s="62"/>
      <c r="F73" s="62"/>
      <c r="G73" s="3"/>
    </row>
  </sheetData>
  <sheetProtection formatRows="0" insertRows="0" insertHyperlinks="0" deleteRows="0" selectLockedCells="1"/>
  <mergeCells count="60"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68:F6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64:B71 B52:B59 B40:B47 B28:B35 B16:B23 B4:B11" xr:uid="{00000000-0002-0000-0300-000000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72 B60 B48 B36 B24 B12" xr:uid="{00000000-0002-0000-0300-000001000000}">
      <formula1>0</formula1>
      <formula2>60</formula2>
    </dataValidation>
    <dataValidation type="list" allowBlank="1" showInputMessage="1" showErrorMessage="1" sqref="A64:A71 A52:A59 A40:A47 A28:A35 A16:A23 A4:A11" xr:uid="{00000000-0002-0000-0300-000002000000}">
      <formula1>ListeTaches</formula1>
    </dataValidation>
  </dataValidations>
  <hyperlinks>
    <hyperlink ref="E66" r:id="rId1" xr:uid="{00000000-0004-0000-0300-000000000000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7"/>
      <c r="B10" s="177"/>
      <c r="C10" s="177"/>
      <c r="D10" s="177"/>
      <c r="E10" s="177"/>
      <c r="F10" s="177"/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75"/>
    </row>
    <row r="11" spans="1:61" ht="18" x14ac:dyDescent="0.25">
      <c r="A11" s="178"/>
      <c r="B11" s="178"/>
      <c r="C11" s="178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78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75"/>
    </row>
    <row r="12" spans="1:61" ht="18.75" thickBot="1" x14ac:dyDescent="0.3">
      <c r="A12" s="179"/>
      <c r="B12" s="179"/>
      <c r="C12" s="179"/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75"/>
    </row>
    <row r="13" spans="1:61" ht="18.75" thickBot="1" x14ac:dyDescent="0.3">
      <c r="A13" s="161" t="s">
        <v>16</v>
      </c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62"/>
      <c r="AG13" s="162"/>
      <c r="AH13" s="162"/>
      <c r="AI13" s="162"/>
      <c r="AJ13" s="162"/>
      <c r="AK13" s="162"/>
      <c r="AL13" s="162"/>
      <c r="AM13" s="162"/>
      <c r="AN13" s="162"/>
      <c r="AO13" s="162"/>
      <c r="AP13" s="162"/>
      <c r="AQ13" s="162"/>
      <c r="AR13" s="162"/>
      <c r="AS13" s="162"/>
      <c r="AT13" s="162"/>
      <c r="AU13" s="162"/>
      <c r="AV13" s="162"/>
      <c r="AW13" s="162"/>
      <c r="AX13" s="162"/>
      <c r="AY13" s="162"/>
      <c r="AZ13" s="162"/>
      <c r="BA13" s="162"/>
      <c r="BB13" s="162"/>
      <c r="BC13" s="162"/>
      <c r="BD13" s="162"/>
      <c r="BE13" s="162"/>
      <c r="BF13" s="162"/>
      <c r="BG13" s="162"/>
      <c r="BH13" s="163"/>
      <c r="BI13" s="75"/>
    </row>
    <row r="14" spans="1:61" ht="15.75" thickBot="1" x14ac:dyDescent="0.35">
      <c r="A14" s="87"/>
      <c r="B14" s="88"/>
      <c r="C14" s="88"/>
      <c r="D14" s="88"/>
      <c r="E14" s="164" t="s">
        <v>40</v>
      </c>
      <c r="F14" s="164"/>
      <c r="G14" s="164"/>
      <c r="H14" s="164"/>
      <c r="I14" s="88"/>
      <c r="J14" s="88"/>
      <c r="K14" s="165" t="s">
        <v>28</v>
      </c>
      <c r="L14" s="165"/>
      <c r="M14" s="165"/>
      <c r="N14" s="165"/>
      <c r="O14" s="112"/>
      <c r="P14" s="112"/>
      <c r="Q14" s="164" t="s">
        <v>41</v>
      </c>
      <c r="R14" s="164"/>
      <c r="S14" s="164"/>
      <c r="T14" s="164"/>
      <c r="U14" s="88"/>
      <c r="V14" s="88"/>
      <c r="W14" s="165" t="s">
        <v>29</v>
      </c>
      <c r="X14" s="165"/>
      <c r="Y14" s="165"/>
      <c r="Z14" s="165"/>
      <c r="AA14" s="112"/>
      <c r="AB14" s="112"/>
      <c r="AC14" s="164" t="s">
        <v>42</v>
      </c>
      <c r="AD14" s="164"/>
      <c r="AE14" s="164"/>
      <c r="AF14" s="164"/>
      <c r="AG14" s="88"/>
      <c r="AH14" s="88"/>
      <c r="AI14" s="165" t="s">
        <v>30</v>
      </c>
      <c r="AJ14" s="165"/>
      <c r="AK14" s="165"/>
      <c r="AL14" s="165"/>
      <c r="AM14" s="112"/>
      <c r="AN14" s="112"/>
      <c r="AO14" s="164" t="s">
        <v>43</v>
      </c>
      <c r="AP14" s="164"/>
      <c r="AQ14" s="164"/>
      <c r="AR14" s="164"/>
      <c r="AS14" s="88"/>
      <c r="AT14" s="88"/>
      <c r="AU14" s="165" t="s">
        <v>31</v>
      </c>
      <c r="AV14" s="165"/>
      <c r="AW14" s="165"/>
      <c r="AX14" s="165"/>
      <c r="AY14" s="112"/>
      <c r="AZ14" s="112"/>
      <c r="BA14" s="164" t="s">
        <v>44</v>
      </c>
      <c r="BB14" s="164"/>
      <c r="BC14" s="164"/>
      <c r="BD14" s="164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16</v>
      </c>
      <c r="B1" s="146">
        <v>1</v>
      </c>
      <c r="C1" s="146"/>
      <c r="D1" s="67" t="s">
        <v>19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46</v>
      </c>
      <c r="C2" s="134"/>
      <c r="D2" s="65" t="s">
        <v>17</v>
      </c>
      <c r="E2" s="207" t="s">
        <v>18</v>
      </c>
      <c r="F2" s="208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1"/>
      <c r="F3" s="202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3"/>
      <c r="F4" s="194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3"/>
      <c r="F5" s="194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3"/>
      <c r="F6" s="194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5"/>
      <c r="F10" s="196"/>
      <c r="G10" s="3"/>
    </row>
    <row r="11" spans="1:7" s="44" customFormat="1" ht="15" thickBot="1" x14ac:dyDescent="0.35">
      <c r="A11" s="95" t="s">
        <v>33</v>
      </c>
      <c r="B11" s="69">
        <f>SUM(B3:B10)</f>
        <v>0</v>
      </c>
      <c r="C11" s="95" t="str">
        <f xml:space="preserve"> setValueToTime(B11)</f>
        <v>0h</v>
      </c>
      <c r="D11" s="104"/>
      <c r="E11" s="205"/>
      <c r="F11" s="206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16</v>
      </c>
      <c r="B1" s="147">
        <v>1</v>
      </c>
      <c r="C1" s="147"/>
      <c r="D1" s="140" t="s">
        <v>19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46</v>
      </c>
      <c r="C2" s="143"/>
      <c r="D2" s="63" t="s">
        <v>17</v>
      </c>
      <c r="E2" s="199" t="s">
        <v>18</v>
      </c>
      <c r="F2" s="200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1"/>
      <c r="F3" s="202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3"/>
      <c r="F4" s="194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3"/>
      <c r="F5" s="194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3"/>
      <c r="F6" s="194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5"/>
      <c r="F10" s="196"/>
      <c r="G10" s="3"/>
    </row>
    <row r="11" spans="1:7" s="44" customFormat="1" ht="15" thickBot="1" x14ac:dyDescent="0.35">
      <c r="A11" s="145" t="s">
        <v>33</v>
      </c>
      <c r="B11" s="68">
        <f>SUM(B3:B10)</f>
        <v>0</v>
      </c>
      <c r="C11" s="145" t="str">
        <f xml:space="preserve"> setValueToTime(B11)</f>
        <v>0h</v>
      </c>
      <c r="D11" s="105"/>
      <c r="E11" s="197"/>
      <c r="F11" s="198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eate a new document." ma:contentTypeScope="" ma:versionID="f1477614ebe6855c7c93eeb549afaf14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db8bad8b1d177b0b9edef046461580ff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CB69F36-E8B9-4448-99DC-AB9DBB31F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Lucas Lordon</cp:lastModifiedBy>
  <cp:lastPrinted>2019-05-08T10:31:53Z</cp:lastPrinted>
  <dcterms:created xsi:type="dcterms:W3CDTF">1996-10-21T11:03:58Z</dcterms:created>
  <dcterms:modified xsi:type="dcterms:W3CDTF">2024-01-08T19:30:45Z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