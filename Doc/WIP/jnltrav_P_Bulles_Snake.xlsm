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uclordon\Documents\GitHub\P_Bulles_Snake\Doc\WIP\"/>
    </mc:Choice>
  </mc:AlternateContent>
  <bookViews>
    <workbookView xWindow="0" yWindow="0" windowWidth="28800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C12" i="12"/>
  <c r="C24" i="12"/>
  <c r="B36" i="12" l="1"/>
  <c r="C35" i="12"/>
  <c r="C34" i="12"/>
  <c r="C33" i="12"/>
  <c r="C32" i="12"/>
  <c r="C31" i="12"/>
  <c r="C30" i="12"/>
  <c r="C29" i="12"/>
  <c r="C28" i="12"/>
  <c r="C36" i="12"/>
  <c r="B48" i="12" l="1"/>
  <c r="C47" i="12"/>
  <c r="C46" i="12"/>
  <c r="C45" i="12"/>
  <c r="C44" i="12"/>
  <c r="C43" i="12"/>
  <c r="C42" i="12"/>
  <c r="C40" i="12"/>
  <c r="C48" i="12"/>
  <c r="C41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6"/>
  <c r="C11" i="15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<sst xmlns="http://schemas.openxmlformats.org/spreadsheetml/2006/main" count="224" uniqueCount="69">
  <si>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</si>
  <si>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</si>
  <si>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</si>
  <si>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</si>
  <si>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</si>
  <si>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</si>
  <si>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</si>
  <si>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</si>
  <si>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</si>
  <si>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</si>
  <si>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</si>
  <si>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</si>
  <si>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</si>
  <si>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</si>
  <si>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</si>
  <si>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</si>
  <si>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</si>
  <si>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</si>
  <si>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</si>
  <si>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</si>
  <si>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</si>
  <si>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</si>
  <si>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</si>
  <si>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</si>
  <si>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</si>
  <si>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</si>
  <si>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</si>
  <si>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</si>
  <si>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</si>
  <si>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</si>
  <si>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</si>
  <si>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</si>
  <si>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</si>
  <si>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</si>
  <si>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</si>
  <si>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</si>
  <si>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</si>
  <si>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</si>
  <si>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</si>
  <si>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</si>
  <si>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</si>
  <si>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</si>
  <si>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</si>
  <si>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</si>
  <si>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</si>
  <si>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</si>
  <si>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</si>
  <si>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</si>
  <si>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</si>
  <si>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</si>
  <si>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Mise en place du projet</t>
  </si>
  <si>
    <t>Explication</t>
  </si>
  <si>
    <t>Introduction du projet par Aurélie Curchod</t>
  </si>
  <si>
    <t>Afin d'avoir un bon projet, j'ai mis en place/crée : le repo GitHub,l'Aide-mémoire JavaScript,le journal de travail et le rapport. De plus je me suis inscrit au projet dans la market place.</t>
  </si>
  <si>
    <t>Apprendre</t>
  </si>
  <si>
    <t>Avancer dans la doc de JavaScriptInfo</t>
  </si>
  <si>
    <t>https://fr.javascript.info/</t>
  </si>
  <si>
    <t>Reflection logique</t>
  </si>
  <si>
    <t>J'ai commencer à réfléchir par papier, afin de commencer le projet.</t>
  </si>
  <si>
    <t xml:space="preserve">J'ai fais des recherche sur les tableau en java script car j'ai encore de la peine à comprendre les tableau non typés. </t>
  </si>
  <si>
    <t>Site utiles dans mes recherches : https://developer.mozilla.org/fr/</t>
  </si>
  <si>
    <t>Code</t>
  </si>
  <si>
    <t>J'ai commencer le code</t>
  </si>
  <si>
    <t>7h45min</t>
  </si>
  <si>
    <t>+ 7h45min</t>
  </si>
  <si>
    <t>J'ai fini de coder les déplacement du serpent (:</t>
  </si>
  <si>
    <t>Changer tous les if en ?:</t>
  </si>
  <si>
    <t xml:space="preserve">Comprendre le mapping </t>
  </si>
  <si>
    <t>Comprendre le Aray.Foreach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</si>
</sst>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7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7" borderId="18" xfId="0" applyFont="1" applyFill="1" applyBorder="1" applyProtection="1"/>
    <xf numFmtId="0" fontId="2" fillId="17" borderId="19" xfId="0" applyFont="1" applyFill="1" applyBorder="1" applyProtection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79" xfId="0" applyFont="1" applyFill="1" applyBorder="1"/>
    <xf numFmtId="0" fontId="2" fillId="17" borderId="56" xfId="0" applyFont="1" applyFill="1" applyBorder="1"/>
    <xf numFmtId="0" fontId="2" fillId="17" borderId="28" xfId="0" applyFont="1" applyFill="1" applyBorder="1" applyProtection="1"/>
    <xf numFmtId="0" fontId="2" fillId="17" borderId="29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0" fillId="0" borderId="33" xfId="0" applyFont="1" applyFill="1" applyBorder="1" applyAlignment="1" applyProtection="1">
      <alignment horizontal="center" vertical="top" wrapText="1"/>
      <protection locked="0"/>
    </xf>
    <xf numFmtId="0" fontId="1" fillId="0" borderId="33" xfId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1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Mise en place du projet</c:v>
              </c:pt>
              <c:pt idx="6">
                <c:v>Explication</c:v>
              </c:pt>
              <c:pt idx="7">
                <c:v>Apprendre</c:v>
              </c:pt>
              <c:pt idx="8">
                <c:v>Reflection logique</c:v>
              </c:pt>
              <c:pt idx="9">
                <c:v>Code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1.6699999570846558</c:v>
              </c:pt>
              <c:pt idx="6">
                <c:v>0.33000001311302185</c:v>
              </c:pt>
              <c:pt idx="7">
                <c:v>3.5</c:v>
              </c:pt>
              <c:pt idx="8">
                <c:v>0.25</c:v>
              </c:pt>
              <c:pt idx="9">
                <c:v>2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.javascript.info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D42" sqref="D42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77" t="s">
        <v>38</v>
      </c>
      <c r="C35" s="177"/>
      <c r="D35" s="177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78" t="s">
        <v>39</v>
      </c>
      <c r="C37" s="178"/>
      <c r="D37" s="178"/>
      <c r="E37" s="109" t="s">
        <v>63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75" t="s">
        <v>64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topLeftCell="A55" zoomScale="70" zoomScaleNormal="70" zoomScaleSheetLayoutView="43" workbookViewId="0">
      <selection activeCell="E95" sqref="E95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209" t="s">
        <v>35</v>
      </c>
      <c r="D1" s="209"/>
      <c r="E1" s="209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0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1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1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2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210"/>
      <c r="D7" s="210"/>
      <c r="E7" s="210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0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1"/>
      <c r="E9" s="13" t="s">
        <v>26</v>
      </c>
      <c r="F9" s="14"/>
      <c r="G9" s="201" t="str">
        <f>E96</f>
        <v>0h</v>
      </c>
      <c r="H9" s="201"/>
      <c r="I9" s="201"/>
      <c r="J9" s="201"/>
      <c r="K9" s="201"/>
      <c r="L9" s="201"/>
      <c r="M9" s="201"/>
      <c r="N9" s="201"/>
      <c r="O9" s="201"/>
      <c r="P9" s="201"/>
      <c r="Q9" s="201"/>
      <c r="R9" s="201"/>
      <c r="S9" s="201"/>
      <c r="T9" s="201"/>
      <c r="U9" s="201"/>
      <c r="V9" s="119"/>
      <c r="W9" s="200" t="s">
        <v>27</v>
      </c>
      <c r="X9" s="200"/>
      <c r="Y9" s="200"/>
      <c r="Z9" s="200"/>
      <c r="AA9" s="200"/>
      <c r="AB9" s="200"/>
      <c r="AC9" s="200"/>
      <c r="AD9" s="200"/>
      <c r="AE9" s="200"/>
      <c r="AF9" s="200"/>
      <c r="AG9" s="200"/>
      <c r="AH9" s="201" t="str">
        <f>E98</f>
        <v>7h45min</v>
      </c>
      <c r="AI9" s="201"/>
      <c r="AJ9" s="201"/>
      <c r="AK9" s="201"/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1"/>
      <c r="AW9" s="201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2"/>
      <c r="BO10" s="202"/>
      <c r="BP10" s="202"/>
      <c r="BQ10" s="202"/>
      <c r="BR10" s="202"/>
      <c r="BS10" s="202"/>
      <c r="BT10" s="202"/>
      <c r="BU10" s="202"/>
      <c r="BV10" s="202"/>
      <c r="BW10" s="202"/>
      <c r="BX10" s="202"/>
      <c r="BY10" s="202"/>
      <c r="BZ10" s="202"/>
      <c r="CA10" s="202"/>
      <c r="CB10" s="202"/>
      <c r="CC10" s="202"/>
      <c r="CD10" s="202"/>
      <c r="CE10" s="202"/>
      <c r="CF10" s="202"/>
      <c r="CG10" s="202"/>
      <c r="CH10" s="202"/>
      <c r="CI10" s="202"/>
      <c r="CJ10" s="202"/>
      <c r="CK10" s="202"/>
      <c r="CL10" s="202"/>
      <c r="CM10" s="202"/>
      <c r="CN10" s="202"/>
      <c r="CO10" s="202"/>
      <c r="CP10" s="202"/>
      <c r="CQ10" s="92"/>
      <c r="CR10" s="195"/>
      <c r="CS10" s="195"/>
      <c r="CT10" s="195"/>
      <c r="CU10" s="195"/>
      <c r="CV10" s="195"/>
      <c r="CW10" s="195"/>
      <c r="CX10" s="195"/>
      <c r="CY10" s="195"/>
      <c r="CZ10" s="195"/>
      <c r="DA10" s="195"/>
      <c r="DB10" s="195"/>
      <c r="DC10" s="195"/>
      <c r="DD10" s="195"/>
      <c r="DE10" s="195"/>
      <c r="DF10" s="195"/>
      <c r="DG10" s="195"/>
      <c r="DH10" s="195"/>
      <c r="DI10" s="195"/>
      <c r="DJ10" s="195"/>
      <c r="DK10" s="195"/>
      <c r="DL10" s="195"/>
      <c r="DM10" s="195"/>
      <c r="DN10" s="195"/>
      <c r="DO10" s="195"/>
      <c r="DP10" s="195"/>
      <c r="DQ10" s="195"/>
      <c r="DR10" s="195"/>
      <c r="DS10" s="195"/>
      <c r="DT10" s="195"/>
      <c r="DU10" s="195"/>
      <c r="DV10" s="195"/>
      <c r="DW10" s="195"/>
      <c r="DX10" s="195"/>
      <c r="DY10" s="195"/>
      <c r="DZ10" s="195"/>
      <c r="EA10" s="195"/>
      <c r="EB10" s="195"/>
      <c r="EC10" s="195"/>
      <c r="ED10" s="195"/>
      <c r="EE10" s="195"/>
      <c r="EF10" s="195"/>
      <c r="EG10" s="195"/>
      <c r="EH10" s="195"/>
      <c r="EI10" s="195"/>
      <c r="EJ10" s="195"/>
      <c r="EK10" s="195"/>
      <c r="EL10" s="195"/>
      <c r="EM10" s="195"/>
      <c r="EN10" s="195"/>
      <c r="EO10" s="195"/>
      <c r="EP10" s="195"/>
      <c r="EQ10" s="195"/>
      <c r="ER10" s="195"/>
      <c r="ES10" s="195"/>
      <c r="ET10" s="195"/>
      <c r="EU10" s="195"/>
      <c r="EV10" s="195"/>
      <c r="EW10" s="195"/>
      <c r="EX10" s="195"/>
      <c r="EY10" s="195"/>
      <c r="EZ10" s="195"/>
      <c r="FA10" s="195"/>
      <c r="FB10" s="195"/>
      <c r="FC10" s="195"/>
      <c r="FD10" s="195"/>
      <c r="FE10" s="195"/>
      <c r="FF10" s="195"/>
      <c r="FG10" s="195"/>
      <c r="FH10" s="195"/>
      <c r="FI10" s="195"/>
      <c r="FJ10" s="195"/>
      <c r="FK10" s="195"/>
      <c r="FL10" s="195"/>
      <c r="FM10" s="195"/>
      <c r="FN10" s="195"/>
      <c r="FO10" s="195"/>
      <c r="FP10" s="195"/>
      <c r="FQ10" s="195"/>
      <c r="FR10" s="195"/>
      <c r="FS10" s="195"/>
      <c r="FT10" s="195"/>
      <c r="FU10" s="195"/>
      <c r="FV10" s="195"/>
      <c r="FW10" s="195"/>
      <c r="FX10" s="195"/>
      <c r="FY10" s="195"/>
      <c r="FZ10" s="195"/>
      <c r="GA10" s="195"/>
      <c r="GB10" s="195"/>
      <c r="GC10" s="195"/>
      <c r="GD10" s="90"/>
    </row>
    <row r="11" spans="1:186" ht="20.100000000000001" customHeight="1" x14ac:dyDescent="0.25">
      <c r="B11" s="96"/>
      <c r="C11" s="207"/>
      <c r="D11" s="207"/>
      <c r="E11" s="207"/>
      <c r="F11" s="199" t="s">
        <v>48</v>
      </c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99"/>
      <c r="W11" s="199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  <c r="AI11" s="199"/>
      <c r="AJ11" s="199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AU11" s="199"/>
      <c r="AV11" s="199"/>
      <c r="AW11" s="199"/>
      <c r="AX11" s="199"/>
      <c r="AY11" s="199"/>
      <c r="AZ11" s="199"/>
      <c r="BA11" s="199"/>
      <c r="BB11" s="199"/>
      <c r="BC11" s="199"/>
      <c r="BD11" s="199"/>
      <c r="BE11" s="199"/>
      <c r="BF11" s="199"/>
      <c r="BG11" s="199"/>
      <c r="BH11" s="199"/>
      <c r="BI11" s="199"/>
      <c r="BJ11" s="199"/>
      <c r="BK11" s="199"/>
      <c r="BL11" s="199"/>
      <c r="BM11" s="199"/>
      <c r="BN11" s="199" t="s">
        <v>48</v>
      </c>
      <c r="BO11" s="199"/>
      <c r="BP11" s="199"/>
      <c r="BQ11" s="199"/>
      <c r="BR11" s="199"/>
      <c r="BS11" s="199"/>
      <c r="BT11" s="199"/>
      <c r="BU11" s="199"/>
      <c r="BV11" s="199"/>
      <c r="BW11" s="199"/>
      <c r="BX11" s="199"/>
      <c r="BY11" s="199"/>
      <c r="BZ11" s="199"/>
      <c r="CA11" s="199"/>
      <c r="CB11" s="199"/>
      <c r="CC11" s="199"/>
      <c r="CD11" s="199"/>
      <c r="CE11" s="199"/>
      <c r="CF11" s="199"/>
      <c r="CG11" s="199"/>
      <c r="CH11" s="199"/>
      <c r="CI11" s="199"/>
      <c r="CJ11" s="199"/>
      <c r="CK11" s="199"/>
      <c r="CL11" s="199"/>
      <c r="CM11" s="199"/>
      <c r="CN11" s="199"/>
      <c r="CO11" s="199"/>
      <c r="CP11" s="199"/>
      <c r="CQ11" s="199"/>
      <c r="CR11" s="199"/>
      <c r="CS11" s="199"/>
      <c r="CT11" s="199"/>
      <c r="CU11" s="199"/>
      <c r="CV11" s="199"/>
      <c r="CW11" s="199"/>
      <c r="CX11" s="199"/>
      <c r="CY11" s="199"/>
      <c r="CZ11" s="199"/>
      <c r="DA11" s="199"/>
      <c r="DB11" s="199"/>
      <c r="DC11" s="199"/>
      <c r="DD11" s="199"/>
      <c r="DE11" s="199"/>
      <c r="DF11" s="199"/>
      <c r="DG11" s="199"/>
      <c r="DH11" s="199"/>
      <c r="DI11" s="199"/>
      <c r="DJ11" s="199"/>
      <c r="DK11" s="199"/>
      <c r="DL11" s="199"/>
      <c r="DM11" s="199"/>
      <c r="DN11" s="199"/>
      <c r="DO11" s="199"/>
      <c r="DP11" s="199"/>
      <c r="DQ11" s="199"/>
      <c r="DR11" s="199"/>
      <c r="DS11" s="199"/>
      <c r="DT11" s="199"/>
      <c r="DU11" s="199"/>
      <c r="DV11" s="196" t="s">
        <v>48</v>
      </c>
      <c r="DW11" s="196"/>
      <c r="DX11" s="196"/>
      <c r="DY11" s="196"/>
      <c r="DZ11" s="196"/>
      <c r="EA11" s="196"/>
      <c r="EB11" s="196"/>
      <c r="EC11" s="196"/>
      <c r="ED11" s="196"/>
      <c r="EE11" s="196"/>
      <c r="EF11" s="196"/>
      <c r="EG11" s="196"/>
      <c r="EH11" s="196"/>
      <c r="EI11" s="196"/>
      <c r="EJ11" s="196"/>
      <c r="EK11" s="196"/>
      <c r="EL11" s="196"/>
      <c r="EM11" s="196"/>
      <c r="EN11" s="196"/>
      <c r="EO11" s="196"/>
      <c r="EP11" s="196"/>
      <c r="EQ11" s="196"/>
      <c r="ER11" s="196"/>
      <c r="ES11" s="196"/>
      <c r="ET11" s="196"/>
      <c r="EU11" s="196"/>
      <c r="EV11" s="196"/>
      <c r="EW11" s="196"/>
      <c r="EX11" s="196"/>
      <c r="EY11" s="196"/>
      <c r="EZ11" s="196"/>
      <c r="FA11" s="196"/>
      <c r="FB11" s="196"/>
      <c r="FC11" s="196"/>
      <c r="FD11" s="196"/>
      <c r="FE11" s="196"/>
      <c r="FF11" s="196"/>
      <c r="FG11" s="196"/>
      <c r="FH11" s="196"/>
      <c r="FI11" s="196"/>
      <c r="FJ11" s="196"/>
      <c r="FK11" s="196"/>
      <c r="FL11" s="196"/>
      <c r="FM11" s="196"/>
      <c r="FN11" s="196"/>
      <c r="FO11" s="196"/>
      <c r="FP11" s="196"/>
      <c r="FQ11" s="196"/>
      <c r="FR11" s="196"/>
      <c r="FS11" s="196"/>
      <c r="FT11" s="196"/>
      <c r="FU11" s="196"/>
      <c r="FV11" s="196"/>
      <c r="FW11" s="196"/>
      <c r="FX11" s="196"/>
      <c r="FY11" s="196"/>
      <c r="FZ11" s="196"/>
      <c r="GA11" s="196"/>
      <c r="GB11" s="196"/>
      <c r="GC11" s="196"/>
      <c r="GD11" s="90"/>
    </row>
    <row r="12" spans="1:186" ht="15.75" customHeight="1" thickBot="1" x14ac:dyDescent="0.3">
      <c r="B12" s="97"/>
      <c r="C12" s="208"/>
      <c r="D12" s="208"/>
      <c r="E12" s="208"/>
      <c r="F12" s="198" t="s">
        <v>49</v>
      </c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8"/>
      <c r="V12" s="198"/>
      <c r="W12" s="198"/>
      <c r="X12" s="198"/>
      <c r="Y12" s="198"/>
      <c r="Z12" s="198"/>
      <c r="AA12" s="198"/>
      <c r="AB12" s="198"/>
      <c r="AC12" s="198"/>
      <c r="AD12" s="198"/>
      <c r="AE12" s="198"/>
      <c r="AF12" s="198"/>
      <c r="AG12" s="198"/>
      <c r="AH12" s="198"/>
      <c r="AI12" s="198"/>
      <c r="AJ12" s="198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AU12" s="198"/>
      <c r="AV12" s="198"/>
      <c r="AW12" s="198"/>
      <c r="AX12" s="198"/>
      <c r="AY12" s="198"/>
      <c r="AZ12" s="198"/>
      <c r="BA12" s="198"/>
      <c r="BB12" s="198"/>
      <c r="BC12" s="198"/>
      <c r="BD12" s="198"/>
      <c r="BE12" s="198"/>
      <c r="BF12" s="198"/>
      <c r="BG12" s="198"/>
      <c r="BH12" s="198"/>
      <c r="BI12" s="198"/>
      <c r="BJ12" s="198"/>
      <c r="BK12" s="198"/>
      <c r="BL12" s="198"/>
      <c r="BM12" s="198"/>
      <c r="BN12" s="198" t="s">
        <v>49</v>
      </c>
      <c r="BO12" s="198"/>
      <c r="BP12" s="198"/>
      <c r="BQ12" s="198"/>
      <c r="BR12" s="198"/>
      <c r="BS12" s="198"/>
      <c r="BT12" s="198"/>
      <c r="BU12" s="198"/>
      <c r="BV12" s="198"/>
      <c r="BW12" s="198"/>
      <c r="BX12" s="198"/>
      <c r="BY12" s="198"/>
      <c r="BZ12" s="198"/>
      <c r="CA12" s="198"/>
      <c r="CB12" s="198"/>
      <c r="CC12" s="198"/>
      <c r="CD12" s="198"/>
      <c r="CE12" s="198"/>
      <c r="CF12" s="198"/>
      <c r="CG12" s="198"/>
      <c r="CH12" s="198"/>
      <c r="CI12" s="198"/>
      <c r="CJ12" s="198"/>
      <c r="CK12" s="198"/>
      <c r="CL12" s="198"/>
      <c r="CM12" s="198"/>
      <c r="CN12" s="198"/>
      <c r="CO12" s="198"/>
      <c r="CP12" s="198"/>
      <c r="CQ12" s="198"/>
      <c r="CR12" s="198"/>
      <c r="CS12" s="198"/>
      <c r="CT12" s="198"/>
      <c r="CU12" s="198"/>
      <c r="CV12" s="198"/>
      <c r="CW12" s="198"/>
      <c r="CX12" s="198"/>
      <c r="CY12" s="198"/>
      <c r="CZ12" s="198"/>
      <c r="DA12" s="198"/>
      <c r="DB12" s="198"/>
      <c r="DC12" s="198"/>
      <c r="DD12" s="198"/>
      <c r="DE12" s="198"/>
      <c r="DF12" s="198"/>
      <c r="DG12" s="198"/>
      <c r="DH12" s="198"/>
      <c r="DI12" s="198"/>
      <c r="DJ12" s="198"/>
      <c r="DK12" s="198"/>
      <c r="DL12" s="198"/>
      <c r="DM12" s="198"/>
      <c r="DN12" s="198"/>
      <c r="DO12" s="198"/>
      <c r="DP12" s="198"/>
      <c r="DQ12" s="198"/>
      <c r="DR12" s="198"/>
      <c r="DS12" s="198"/>
      <c r="DT12" s="198"/>
      <c r="DU12" s="198"/>
      <c r="DV12" s="197" t="s">
        <v>49</v>
      </c>
      <c r="DW12" s="197"/>
      <c r="DX12" s="197"/>
      <c r="DY12" s="197"/>
      <c r="DZ12" s="197"/>
      <c r="EA12" s="197"/>
      <c r="EB12" s="197"/>
      <c r="EC12" s="197"/>
      <c r="ED12" s="197"/>
      <c r="EE12" s="197"/>
      <c r="EF12" s="197"/>
      <c r="EG12" s="197"/>
      <c r="EH12" s="197"/>
      <c r="EI12" s="197"/>
      <c r="EJ12" s="197"/>
      <c r="EK12" s="197"/>
      <c r="EL12" s="197"/>
      <c r="EM12" s="197"/>
      <c r="EN12" s="197"/>
      <c r="EO12" s="197"/>
      <c r="EP12" s="197"/>
      <c r="EQ12" s="197"/>
      <c r="ER12" s="197"/>
      <c r="ES12" s="197"/>
      <c r="ET12" s="197"/>
      <c r="EU12" s="197"/>
      <c r="EV12" s="197"/>
      <c r="EW12" s="197"/>
      <c r="EX12" s="197"/>
      <c r="EY12" s="197"/>
      <c r="EZ12" s="197"/>
      <c r="FA12" s="197"/>
      <c r="FB12" s="197"/>
      <c r="FC12" s="197"/>
      <c r="FD12" s="197"/>
      <c r="FE12" s="197"/>
      <c r="FF12" s="197"/>
      <c r="FG12" s="197"/>
      <c r="FH12" s="197"/>
      <c r="FI12" s="197"/>
      <c r="FJ12" s="197"/>
      <c r="FK12" s="197"/>
      <c r="FL12" s="197"/>
      <c r="FM12" s="197"/>
      <c r="FN12" s="197"/>
      <c r="FO12" s="197"/>
      <c r="FP12" s="197"/>
      <c r="FQ12" s="197"/>
      <c r="FR12" s="197"/>
      <c r="FS12" s="197"/>
      <c r="FT12" s="197"/>
      <c r="FU12" s="197"/>
      <c r="FV12" s="197"/>
      <c r="FW12" s="197"/>
      <c r="FX12" s="197"/>
      <c r="FY12" s="197"/>
      <c r="FZ12" s="197"/>
      <c r="GA12" s="197"/>
      <c r="GB12" s="197"/>
      <c r="GC12" s="197"/>
      <c r="GD12" s="90"/>
    </row>
    <row r="13" spans="1:186" ht="42.75" customHeight="1" thickBot="1" x14ac:dyDescent="0.3">
      <c r="B13" s="96"/>
      <c r="C13" s="203" t="s">
        <v>7</v>
      </c>
      <c r="D13" s="144"/>
      <c r="E13" s="205" t="s">
        <v>45</v>
      </c>
      <c r="F13" s="179" t="s">
        <v>8</v>
      </c>
      <c r="G13" s="180"/>
      <c r="H13" s="180"/>
      <c r="I13" s="180"/>
      <c r="J13" s="180"/>
      <c r="K13" s="180"/>
      <c r="L13" s="180"/>
      <c r="M13" s="180"/>
      <c r="N13" s="180"/>
      <c r="O13" s="180"/>
      <c r="P13" s="180"/>
      <c r="Q13" s="180"/>
      <c r="R13" s="180"/>
      <c r="S13" s="180"/>
      <c r="T13" s="180"/>
      <c r="U13" s="180"/>
      <c r="V13" s="180"/>
      <c r="W13" s="180"/>
      <c r="X13" s="180"/>
      <c r="Y13" s="180"/>
      <c r="Z13" s="180"/>
      <c r="AA13" s="180"/>
      <c r="AB13" s="180"/>
      <c r="AC13" s="180"/>
      <c r="AD13" s="180"/>
      <c r="AE13" s="180"/>
      <c r="AF13" s="180"/>
      <c r="AG13" s="180"/>
      <c r="AH13" s="180"/>
      <c r="AI13" s="180"/>
      <c r="AJ13" s="180"/>
      <c r="AK13" s="180"/>
      <c r="AL13" s="180"/>
      <c r="AM13" s="180"/>
      <c r="AN13" s="180"/>
      <c r="AO13" s="180"/>
      <c r="AP13" s="180"/>
      <c r="AQ13" s="180"/>
      <c r="AR13" s="180"/>
      <c r="AS13" s="180"/>
      <c r="AT13" s="180"/>
      <c r="AU13" s="180"/>
      <c r="AV13" s="180"/>
      <c r="AW13" s="180"/>
      <c r="AX13" s="180"/>
      <c r="AY13" s="180"/>
      <c r="AZ13" s="180"/>
      <c r="BA13" s="180"/>
      <c r="BB13" s="180"/>
      <c r="BC13" s="180"/>
      <c r="BD13" s="180"/>
      <c r="BE13" s="180"/>
      <c r="BF13" s="180"/>
      <c r="BG13" s="180"/>
      <c r="BH13" s="180"/>
      <c r="BI13" s="180"/>
      <c r="BJ13" s="180"/>
      <c r="BK13" s="180"/>
      <c r="BL13" s="180"/>
      <c r="BM13" s="181"/>
      <c r="BN13" s="179" t="s">
        <v>32</v>
      </c>
      <c r="BO13" s="180"/>
      <c r="BP13" s="180"/>
      <c r="BQ13" s="180"/>
      <c r="BR13" s="180"/>
      <c r="BS13" s="180"/>
      <c r="BT13" s="180"/>
      <c r="BU13" s="180"/>
      <c r="BV13" s="180"/>
      <c r="BW13" s="180"/>
      <c r="BX13" s="180"/>
      <c r="BY13" s="180"/>
      <c r="BZ13" s="180"/>
      <c r="CA13" s="180"/>
      <c r="CB13" s="180"/>
      <c r="CC13" s="180"/>
      <c r="CD13" s="180"/>
      <c r="CE13" s="180"/>
      <c r="CF13" s="180"/>
      <c r="CG13" s="180"/>
      <c r="CH13" s="180"/>
      <c r="CI13" s="180"/>
      <c r="CJ13" s="180"/>
      <c r="CK13" s="180"/>
      <c r="CL13" s="180"/>
      <c r="CM13" s="180"/>
      <c r="CN13" s="180"/>
      <c r="CO13" s="180"/>
      <c r="CP13" s="180"/>
      <c r="CQ13" s="180"/>
      <c r="CR13" s="180"/>
      <c r="CS13" s="180"/>
      <c r="CT13" s="180"/>
      <c r="CU13" s="180"/>
      <c r="CV13" s="180"/>
      <c r="CW13" s="180"/>
      <c r="CX13" s="180"/>
      <c r="CY13" s="180"/>
      <c r="CZ13" s="180"/>
      <c r="DA13" s="180"/>
      <c r="DB13" s="180"/>
      <c r="DC13" s="180"/>
      <c r="DD13" s="180"/>
      <c r="DE13" s="180"/>
      <c r="DF13" s="180"/>
      <c r="DG13" s="180"/>
      <c r="DH13" s="180"/>
      <c r="DI13" s="180"/>
      <c r="DJ13" s="180"/>
      <c r="DK13" s="180"/>
      <c r="DL13" s="180"/>
      <c r="DM13" s="180"/>
      <c r="DN13" s="180"/>
      <c r="DO13" s="180"/>
      <c r="DP13" s="180"/>
      <c r="DQ13" s="180"/>
      <c r="DR13" s="180"/>
      <c r="DS13" s="180"/>
      <c r="DT13" s="180"/>
      <c r="DU13" s="181"/>
      <c r="DV13" s="179" t="s">
        <v>23</v>
      </c>
      <c r="DW13" s="180"/>
      <c r="DX13" s="180"/>
      <c r="DY13" s="180"/>
      <c r="DZ13" s="180"/>
      <c r="EA13" s="180"/>
      <c r="EB13" s="180"/>
      <c r="EC13" s="180"/>
      <c r="ED13" s="180"/>
      <c r="EE13" s="180"/>
      <c r="EF13" s="180"/>
      <c r="EG13" s="180"/>
      <c r="EH13" s="180"/>
      <c r="EI13" s="180"/>
      <c r="EJ13" s="180"/>
      <c r="EK13" s="180"/>
      <c r="EL13" s="180"/>
      <c r="EM13" s="180"/>
      <c r="EN13" s="180"/>
      <c r="EO13" s="180"/>
      <c r="EP13" s="180"/>
      <c r="EQ13" s="180"/>
      <c r="ER13" s="180"/>
      <c r="ES13" s="180"/>
      <c r="ET13" s="180"/>
      <c r="EU13" s="180"/>
      <c r="EV13" s="180"/>
      <c r="EW13" s="180"/>
      <c r="EX13" s="180"/>
      <c r="EY13" s="180"/>
      <c r="EZ13" s="180"/>
      <c r="FA13" s="180"/>
      <c r="FB13" s="180"/>
      <c r="FC13" s="180"/>
      <c r="FD13" s="180"/>
      <c r="FE13" s="180"/>
      <c r="FF13" s="180"/>
      <c r="FG13" s="180"/>
      <c r="FH13" s="180"/>
      <c r="FI13" s="180"/>
      <c r="FJ13" s="180"/>
      <c r="FK13" s="180"/>
      <c r="FL13" s="180"/>
      <c r="FM13" s="180"/>
      <c r="FN13" s="180"/>
      <c r="FO13" s="180"/>
      <c r="FP13" s="180"/>
      <c r="FQ13" s="180"/>
      <c r="FR13" s="180"/>
      <c r="FS13" s="180"/>
      <c r="FT13" s="180"/>
      <c r="FU13" s="180"/>
      <c r="FV13" s="180"/>
      <c r="FW13" s="180"/>
      <c r="FX13" s="180"/>
      <c r="FY13" s="180"/>
      <c r="FZ13" s="180"/>
      <c r="GA13" s="180"/>
      <c r="GB13" s="180"/>
      <c r="GC13" s="181"/>
      <c r="GD13" s="90"/>
    </row>
    <row r="14" spans="1:186" ht="12.75" customHeight="1" thickBot="1" x14ac:dyDescent="0.35">
      <c r="B14" s="96"/>
      <c r="C14" s="204"/>
      <c r="D14" s="145"/>
      <c r="E14" s="206"/>
      <c r="F14" s="103"/>
      <c r="G14" s="104"/>
      <c r="H14" s="104"/>
      <c r="I14" s="104"/>
      <c r="J14" s="182" t="s">
        <v>40</v>
      </c>
      <c r="K14" s="182"/>
      <c r="L14" s="182"/>
      <c r="M14" s="182"/>
      <c r="N14" s="104"/>
      <c r="O14" s="104"/>
      <c r="P14" s="183" t="s">
        <v>28</v>
      </c>
      <c r="Q14" s="183"/>
      <c r="R14" s="183"/>
      <c r="S14" s="183"/>
      <c r="T14" s="129"/>
      <c r="U14" s="129"/>
      <c r="V14" s="182" t="s">
        <v>41</v>
      </c>
      <c r="W14" s="182"/>
      <c r="X14" s="182"/>
      <c r="Y14" s="182"/>
      <c r="Z14" s="104"/>
      <c r="AA14" s="104"/>
      <c r="AB14" s="183" t="s">
        <v>29</v>
      </c>
      <c r="AC14" s="183"/>
      <c r="AD14" s="183"/>
      <c r="AE14" s="183"/>
      <c r="AF14" s="129"/>
      <c r="AG14" s="129"/>
      <c r="AH14" s="182" t="s">
        <v>42</v>
      </c>
      <c r="AI14" s="182"/>
      <c r="AJ14" s="182"/>
      <c r="AK14" s="182"/>
      <c r="AL14" s="104"/>
      <c r="AM14" s="104"/>
      <c r="AN14" s="183" t="s">
        <v>30</v>
      </c>
      <c r="AO14" s="183"/>
      <c r="AP14" s="183"/>
      <c r="AQ14" s="183"/>
      <c r="AR14" s="129"/>
      <c r="AS14" s="129"/>
      <c r="AT14" s="182" t="s">
        <v>43</v>
      </c>
      <c r="AU14" s="182"/>
      <c r="AV14" s="182"/>
      <c r="AW14" s="182"/>
      <c r="AX14" s="104"/>
      <c r="AY14" s="104"/>
      <c r="AZ14" s="183" t="s">
        <v>31</v>
      </c>
      <c r="BA14" s="183"/>
      <c r="BB14" s="183"/>
      <c r="BC14" s="183"/>
      <c r="BD14" s="129"/>
      <c r="BE14" s="129"/>
      <c r="BF14" s="182" t="s">
        <v>44</v>
      </c>
      <c r="BG14" s="182"/>
      <c r="BH14" s="182"/>
      <c r="BI14" s="182"/>
      <c r="BJ14" s="104"/>
      <c r="BK14" s="104"/>
      <c r="BL14" s="104"/>
      <c r="BM14" s="105"/>
      <c r="BN14" s="103"/>
      <c r="BO14" s="104"/>
      <c r="BP14" s="104"/>
      <c r="BQ14" s="104"/>
      <c r="BR14" s="182" t="s">
        <v>40</v>
      </c>
      <c r="BS14" s="182"/>
      <c r="BT14" s="182"/>
      <c r="BU14" s="182"/>
      <c r="BV14" s="104"/>
      <c r="BW14" s="104"/>
      <c r="BX14" s="183" t="s">
        <v>28</v>
      </c>
      <c r="BY14" s="183"/>
      <c r="BZ14" s="183"/>
      <c r="CA14" s="183"/>
      <c r="CB14" s="129"/>
      <c r="CC14" s="129"/>
      <c r="CD14" s="182" t="s">
        <v>41</v>
      </c>
      <c r="CE14" s="182"/>
      <c r="CF14" s="182"/>
      <c r="CG14" s="182"/>
      <c r="CH14" s="104"/>
      <c r="CI14" s="104"/>
      <c r="CJ14" s="183" t="s">
        <v>29</v>
      </c>
      <c r="CK14" s="183"/>
      <c r="CL14" s="183"/>
      <c r="CM14" s="183"/>
      <c r="CN14" s="129"/>
      <c r="CO14" s="129"/>
      <c r="CP14" s="182" t="s">
        <v>42</v>
      </c>
      <c r="CQ14" s="182"/>
      <c r="CR14" s="182"/>
      <c r="CS14" s="182"/>
      <c r="CT14" s="104"/>
      <c r="CU14" s="104"/>
      <c r="CV14" s="183" t="s">
        <v>30</v>
      </c>
      <c r="CW14" s="183"/>
      <c r="CX14" s="183"/>
      <c r="CY14" s="183"/>
      <c r="CZ14" s="129"/>
      <c r="DA14" s="129"/>
      <c r="DB14" s="182" t="s">
        <v>43</v>
      </c>
      <c r="DC14" s="182"/>
      <c r="DD14" s="182"/>
      <c r="DE14" s="182"/>
      <c r="DF14" s="104"/>
      <c r="DG14" s="104"/>
      <c r="DH14" s="183" t="s">
        <v>31</v>
      </c>
      <c r="DI14" s="183"/>
      <c r="DJ14" s="183"/>
      <c r="DK14" s="183"/>
      <c r="DL14" s="129"/>
      <c r="DM14" s="129"/>
      <c r="DN14" s="182" t="s">
        <v>44</v>
      </c>
      <c r="DO14" s="182"/>
      <c r="DP14" s="182"/>
      <c r="DQ14" s="182"/>
      <c r="DR14" s="104"/>
      <c r="DS14" s="104"/>
      <c r="DT14" s="104"/>
      <c r="DU14" s="105"/>
      <c r="DV14" s="103"/>
      <c r="DW14" s="104"/>
      <c r="DX14" s="104"/>
      <c r="DY14" s="104"/>
      <c r="DZ14" s="182" t="s">
        <v>40</v>
      </c>
      <c r="EA14" s="182"/>
      <c r="EB14" s="182"/>
      <c r="EC14" s="182"/>
      <c r="ED14" s="104"/>
      <c r="EE14" s="104"/>
      <c r="EF14" s="183" t="s">
        <v>28</v>
      </c>
      <c r="EG14" s="183"/>
      <c r="EH14" s="183"/>
      <c r="EI14" s="183"/>
      <c r="EJ14" s="129"/>
      <c r="EK14" s="129"/>
      <c r="EL14" s="182" t="s">
        <v>41</v>
      </c>
      <c r="EM14" s="182"/>
      <c r="EN14" s="182"/>
      <c r="EO14" s="182"/>
      <c r="EP14" s="104"/>
      <c r="EQ14" s="104"/>
      <c r="ER14" s="183" t="s">
        <v>29</v>
      </c>
      <c r="ES14" s="183"/>
      <c r="ET14" s="183"/>
      <c r="EU14" s="183"/>
      <c r="EV14" s="129"/>
      <c r="EW14" s="129"/>
      <c r="EX14" s="182" t="s">
        <v>42</v>
      </c>
      <c r="EY14" s="182"/>
      <c r="EZ14" s="182"/>
      <c r="FA14" s="182"/>
      <c r="FB14" s="104"/>
      <c r="FC14" s="104"/>
      <c r="FD14" s="183" t="s">
        <v>30</v>
      </c>
      <c r="FE14" s="183"/>
      <c r="FF14" s="183"/>
      <c r="FG14" s="183"/>
      <c r="FH14" s="129"/>
      <c r="FI14" s="129"/>
      <c r="FJ14" s="182" t="s">
        <v>43</v>
      </c>
      <c r="FK14" s="182"/>
      <c r="FL14" s="182"/>
      <c r="FM14" s="182"/>
      <c r="FN14" s="104"/>
      <c r="FO14" s="104"/>
      <c r="FP14" s="183" t="s">
        <v>31</v>
      </c>
      <c r="FQ14" s="183"/>
      <c r="FR14" s="183"/>
      <c r="FS14" s="183"/>
      <c r="FT14" s="129"/>
      <c r="FU14" s="129"/>
      <c r="FV14" s="182" t="s">
        <v>44</v>
      </c>
      <c r="FW14" s="182"/>
      <c r="FX14" s="182"/>
      <c r="FY14" s="182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88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89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88" t="s">
        <v>36</v>
      </c>
      <c r="D17" s="146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89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88" t="s">
        <v>37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>Mise en place du projet</v>
      </c>
      <c r="C20" s="190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>Explication</v>
      </c>
      <c r="C21" s="188" t="s">
        <v>21</v>
      </c>
      <c r="D21" s="146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>Apprendre</v>
      </c>
      <c r="C22" s="190"/>
      <c r="D22" s="147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>Reflection logique</v>
      </c>
      <c r="C23" s="188" t="s">
        <v>20</v>
      </c>
      <c r="D23" s="146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>Code</v>
      </c>
      <c r="C24" s="190"/>
      <c r="D24" s="147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/>
      </c>
      <c r="C25" s="188" t="s">
        <v>50</v>
      </c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/>
      </c>
      <c r="C26" s="189"/>
      <c r="D26" s="148" t="str">
        <f t="shared" si="0"/>
        <v>1h40min</v>
      </c>
      <c r="E26" s="35">
        <v>20</v>
      </c>
      <c r="F26" s="36"/>
      <c r="G26" s="65"/>
      <c r="H26" s="65"/>
      <c r="I26" s="65"/>
      <c r="J26" s="169"/>
      <c r="K26" s="170"/>
      <c r="L26" s="169"/>
      <c r="M26" s="169"/>
      <c r="N26" s="169"/>
      <c r="O26" s="169"/>
      <c r="P26" s="169"/>
      <c r="Q26" s="171"/>
      <c r="R26" s="169"/>
      <c r="S26" s="169"/>
      <c r="T26" s="169"/>
      <c r="U26" s="169"/>
      <c r="V26" s="169"/>
      <c r="W26" s="172"/>
      <c r="X26" s="169"/>
      <c r="Y26" s="169"/>
      <c r="Z26" s="169"/>
      <c r="AA26" s="169"/>
      <c r="AB26" s="169"/>
      <c r="AC26" s="171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/>
      </c>
      <c r="C27" s="188" t="s">
        <v>51</v>
      </c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/>
      </c>
      <c r="C28" s="189"/>
      <c r="D28" s="148" t="str">
        <f t="shared" si="0"/>
        <v>0h20min</v>
      </c>
      <c r="E28" s="27">
        <v>4</v>
      </c>
      <c r="F28" s="167"/>
      <c r="G28" s="168"/>
      <c r="H28" s="168"/>
      <c r="I28" s="168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/>
      </c>
      <c r="C29" s="188" t="s">
        <v>54</v>
      </c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/>
      </c>
      <c r="C30" s="189"/>
      <c r="D30" s="148" t="str">
        <f t="shared" si="0"/>
        <v>3h30min</v>
      </c>
      <c r="E30" s="35">
        <v>42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169"/>
      <c r="AE30" s="169"/>
      <c r="AF30" s="169"/>
      <c r="AG30" s="169"/>
      <c r="AH30" s="169"/>
      <c r="AI30" s="172"/>
      <c r="AJ30" s="173"/>
      <c r="AK30" s="173"/>
      <c r="AL30" s="173"/>
      <c r="AM30" s="173"/>
      <c r="AN30" s="169"/>
      <c r="AO30" s="171"/>
      <c r="AP30" s="169"/>
      <c r="AQ30" s="169"/>
      <c r="AR30" s="169"/>
      <c r="AS30" s="169"/>
      <c r="AT30" s="169"/>
      <c r="AU30" s="172"/>
      <c r="AV30" s="169"/>
      <c r="AW30" s="169"/>
      <c r="AX30" s="169"/>
      <c r="AY30" s="169"/>
      <c r="AZ30" s="169"/>
      <c r="BA30" s="171"/>
      <c r="BB30" s="169"/>
      <c r="BC30" s="169"/>
      <c r="BD30" s="169"/>
      <c r="BE30" s="169"/>
      <c r="BF30" s="169"/>
      <c r="BG30" s="172"/>
      <c r="BH30" s="169"/>
      <c r="BI30" s="169"/>
      <c r="BJ30" s="169"/>
      <c r="BK30" s="169"/>
      <c r="BL30" s="169"/>
      <c r="BM30" s="174"/>
      <c r="BN30" s="36"/>
      <c r="BO30" s="65"/>
      <c r="BP30" s="65"/>
      <c r="BQ30" s="173"/>
      <c r="BR30" s="169"/>
      <c r="BS30" s="170"/>
      <c r="BT30" s="169"/>
      <c r="BU30" s="169"/>
      <c r="BV30" s="169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/>
      </c>
      <c r="C31" s="188" t="s">
        <v>57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89"/>
      <c r="D32" s="148" t="str">
        <f t="shared" si="0"/>
        <v>0h15min</v>
      </c>
      <c r="E32" s="27">
        <v>3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167"/>
      <c r="BO32" s="168"/>
      <c r="BP32" s="168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88" t="s">
        <v>61</v>
      </c>
      <c r="D33" s="146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89"/>
      <c r="D34" s="148" t="str">
        <f t="shared" si="0"/>
        <v>2h</v>
      </c>
      <c r="E34" s="35">
        <v>24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169"/>
      <c r="BX34" s="169"/>
      <c r="BY34" s="171"/>
      <c r="BZ34" s="169"/>
      <c r="CA34" s="169"/>
      <c r="CB34" s="169"/>
      <c r="CC34" s="169"/>
      <c r="CD34" s="169"/>
      <c r="CE34" s="172"/>
      <c r="CF34" s="169"/>
      <c r="CG34" s="169"/>
      <c r="CH34" s="169"/>
      <c r="CI34" s="169"/>
      <c r="CJ34" s="169"/>
      <c r="CK34" s="171"/>
      <c r="CL34" s="169"/>
      <c r="CM34" s="169"/>
      <c r="CN34" s="169"/>
      <c r="CO34" s="169"/>
      <c r="CP34" s="169"/>
      <c r="CQ34" s="172"/>
      <c r="CR34" s="173"/>
      <c r="CS34" s="173"/>
      <c r="CT34" s="173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88"/>
      <c r="D35" s="146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90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88"/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89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88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90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88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89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88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89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88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90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88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89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88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89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88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90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88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89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88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90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88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89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88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89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88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90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88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89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88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89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88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90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88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89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88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90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88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89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88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89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88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90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88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89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88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89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88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90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88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89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88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90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88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89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88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89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88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90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84" t="s">
        <v>9</v>
      </c>
      <c r="D95" s="185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86"/>
      <c r="D96" s="187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91" t="s">
        <v>10</v>
      </c>
      <c r="D97" s="192"/>
      <c r="E97" s="118">
        <f>SUM(E16,E18,E20,E22,E24,E26,E28,E30,E32,E34,E36,E38,E40,E42,E44,E46,E48,E50,E52,E54,E56,E58,E60,E62,E64,E66,E68,E70,E72,E74,E76,E78,E80,E82,E84,E86,E88,E90,E92,E94)</f>
        <v>93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93"/>
      <c r="D98" s="194"/>
      <c r="E98" s="122" t="str">
        <f xml:space="preserve"> setValueToTime(E97)</f>
        <v>7h45min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13:C14"/>
    <mergeCell ref="E13:E14"/>
    <mergeCell ref="C29:C30"/>
    <mergeCell ref="C19:C20"/>
    <mergeCell ref="C21:C22"/>
    <mergeCell ref="C15:C16"/>
    <mergeCell ref="C43:C44"/>
    <mergeCell ref="C23:C24"/>
    <mergeCell ref="C25:C26"/>
    <mergeCell ref="C39:C40"/>
    <mergeCell ref="C41:C42"/>
    <mergeCell ref="C27:C28"/>
    <mergeCell ref="C55:C56"/>
    <mergeCell ref="C57:C58"/>
    <mergeCell ref="C59:C60"/>
    <mergeCell ref="C61:C62"/>
    <mergeCell ref="C83:C84"/>
    <mergeCell ref="C81:C82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topLeftCell="E1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49"/>
  <sheetViews>
    <sheetView showGridLines="0" tabSelected="1" zoomScaleNormal="100" zoomScaleSheetLayoutView="98" workbookViewId="0">
      <pane ySplit="1" topLeftCell="A2" activePane="bottomLeft" state="frozen"/>
      <selection pane="bottomLeft" activeCell="D21" sqref="D21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8.8554687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16</v>
      </c>
      <c r="B2" s="164">
        <v>4</v>
      </c>
      <c r="C2" s="164"/>
      <c r="D2" s="157" t="s">
        <v>19</v>
      </c>
      <c r="E2" s="158">
        <v>45265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46</v>
      </c>
      <c r="C3" s="160"/>
      <c r="D3" s="78" t="s">
        <v>17</v>
      </c>
      <c r="E3" s="217" t="s">
        <v>18</v>
      </c>
      <c r="F3" s="218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19"/>
      <c r="F4" s="220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11"/>
      <c r="F5" s="21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1"/>
      <c r="F6" s="212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1"/>
      <c r="F7" s="21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1"/>
      <c r="F8" s="21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1"/>
      <c r="F9" s="212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1"/>
      <c r="F10" s="212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3"/>
      <c r="F11" s="214"/>
      <c r="G11" s="51"/>
    </row>
    <row r="12" spans="1:7" s="52" customFormat="1" ht="15" thickBot="1" x14ac:dyDescent="0.35">
      <c r="A12" s="162" t="s">
        <v>33</v>
      </c>
      <c r="B12" s="83">
        <f>SUM(B4:B11)</f>
        <v>0</v>
      </c>
      <c r="C12" s="162" t="str">
        <f xml:space="preserve"> setValueToTime(B12)</f>
        <v>0h</v>
      </c>
      <c r="D12" s="121"/>
      <c r="E12" s="215"/>
      <c r="F12" s="216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16</v>
      </c>
      <c r="B14" s="164">
        <v>3</v>
      </c>
      <c r="C14" s="164"/>
      <c r="D14" s="157" t="s">
        <v>19</v>
      </c>
      <c r="E14" s="158">
        <v>45251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46</v>
      </c>
      <c r="C15" s="160"/>
      <c r="D15" s="78" t="s">
        <v>17</v>
      </c>
      <c r="E15" s="217" t="s">
        <v>18</v>
      </c>
      <c r="F15" s="218"/>
      <c r="G15" s="46"/>
    </row>
    <row r="16" spans="1:7" s="52" customFormat="1" x14ac:dyDescent="0.3">
      <c r="A16" s="48" t="s">
        <v>61</v>
      </c>
      <c r="B16" s="49">
        <v>40</v>
      </c>
      <c r="C16" s="152" t="str">
        <f xml:space="preserve"> IF(B16="","",setValueToTime(B16))</f>
        <v>3h20min</v>
      </c>
      <c r="D16" s="165" t="s">
        <v>66</v>
      </c>
      <c r="E16" s="219"/>
      <c r="F16" s="220"/>
      <c r="G16" s="51"/>
    </row>
    <row r="17" spans="1:7" s="52" customFormat="1" x14ac:dyDescent="0.3">
      <c r="A17" s="53" t="s">
        <v>57</v>
      </c>
      <c r="B17" s="54">
        <v>10</v>
      </c>
      <c r="C17" s="153" t="str">
        <f t="shared" ref="C17:C23" si="1" xml:space="preserve"> IF(B17="","",setValueToTime(B17))</f>
        <v>0h50min</v>
      </c>
      <c r="D17" s="166" t="s">
        <v>67</v>
      </c>
      <c r="E17" s="211"/>
      <c r="F17" s="212"/>
      <c r="G17" s="51"/>
    </row>
    <row r="18" spans="1:7" s="52" customFormat="1" x14ac:dyDescent="0.3">
      <c r="A18" s="53" t="s">
        <v>57</v>
      </c>
      <c r="B18" s="54">
        <v>10</v>
      </c>
      <c r="C18" s="153" t="str">
        <f t="shared" si="1"/>
        <v>0h50min</v>
      </c>
      <c r="D18" s="166" t="s">
        <v>68</v>
      </c>
      <c r="E18" s="211"/>
      <c r="F18" s="212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1"/>
      <c r="F19" s="212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1"/>
      <c r="F20" s="212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1"/>
      <c r="F21" s="212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1"/>
      <c r="F22" s="212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3"/>
      <c r="F23" s="214"/>
      <c r="G23" s="51"/>
    </row>
    <row r="24" spans="1:7" s="52" customFormat="1" ht="15" thickBot="1" x14ac:dyDescent="0.35">
      <c r="A24" s="162" t="s">
        <v>33</v>
      </c>
      <c r="B24" s="83">
        <f>SUM(B16:B23)</f>
        <v>60</v>
      </c>
      <c r="C24" s="162" t="str">
        <f xml:space="preserve"> setValueToTime(B24)</f>
        <v>5h</v>
      </c>
      <c r="D24" s="121"/>
      <c r="E24" s="215"/>
      <c r="F24" s="216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16</v>
      </c>
      <c r="B26" s="164">
        <v>2</v>
      </c>
      <c r="C26" s="164"/>
      <c r="D26" s="157" t="s">
        <v>19</v>
      </c>
      <c r="E26" s="158">
        <v>45244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46</v>
      </c>
      <c r="C27" s="160"/>
      <c r="D27" s="78" t="s">
        <v>17</v>
      </c>
      <c r="E27" s="217" t="s">
        <v>18</v>
      </c>
      <c r="F27" s="218"/>
      <c r="G27" s="46"/>
    </row>
    <row r="28" spans="1:7" s="52" customFormat="1" x14ac:dyDescent="0.3">
      <c r="A28" s="48" t="s">
        <v>57</v>
      </c>
      <c r="B28" s="49">
        <v>3</v>
      </c>
      <c r="C28" s="152" t="str">
        <f xml:space="preserve"> IF(B28="","",setValueToTime(B28))</f>
        <v>0h15min</v>
      </c>
      <c r="D28" s="165" t="s">
        <v>58</v>
      </c>
      <c r="E28" s="219"/>
      <c r="F28" s="220"/>
      <c r="G28" s="51"/>
    </row>
    <row r="29" spans="1:7" s="52" customFormat="1" ht="27" x14ac:dyDescent="0.3">
      <c r="A29" s="53" t="s">
        <v>54</v>
      </c>
      <c r="B29" s="54">
        <v>6</v>
      </c>
      <c r="C29" s="153" t="str">
        <f t="shared" ref="C29:C35" si="2" xml:space="preserve"> IF(B29="","",setValueToTime(B29))</f>
        <v>0h30min</v>
      </c>
      <c r="D29" s="166" t="s">
        <v>59</v>
      </c>
      <c r="E29" s="221" t="s">
        <v>60</v>
      </c>
      <c r="F29" s="212"/>
      <c r="G29" s="51"/>
    </row>
    <row r="30" spans="1:7" s="52" customFormat="1" x14ac:dyDescent="0.3">
      <c r="A30" s="53" t="s">
        <v>61</v>
      </c>
      <c r="B30" s="54">
        <v>24</v>
      </c>
      <c r="C30" s="153" t="str">
        <f t="shared" si="2"/>
        <v>2h</v>
      </c>
      <c r="D30" s="166" t="s">
        <v>62</v>
      </c>
      <c r="E30" s="211"/>
      <c r="F30" s="212"/>
      <c r="G30" s="51"/>
    </row>
    <row r="31" spans="1:7" s="52" customFormat="1" x14ac:dyDescent="0.3">
      <c r="A31" s="176" t="s">
        <v>61</v>
      </c>
      <c r="B31" s="54">
        <v>27</v>
      </c>
      <c r="C31" s="153" t="str">
        <f t="shared" si="2"/>
        <v>2h15min</v>
      </c>
      <c r="D31" s="166" t="s">
        <v>65</v>
      </c>
      <c r="E31" s="211"/>
      <c r="F31" s="212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1"/>
      <c r="F32" s="212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1"/>
      <c r="F33" s="212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1"/>
      <c r="F34" s="212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3"/>
      <c r="F35" s="214"/>
      <c r="G35" s="51"/>
    </row>
    <row r="36" spans="1:7" s="52" customFormat="1" ht="15" thickBot="1" x14ac:dyDescent="0.35">
      <c r="A36" s="162" t="s">
        <v>33</v>
      </c>
      <c r="B36" s="83">
        <f>SUM(B28:B35)</f>
        <v>60</v>
      </c>
      <c r="C36" s="162" t="str">
        <f xml:space="preserve"> setValueToTime(B36)</f>
        <v>5h</v>
      </c>
      <c r="D36" s="121"/>
      <c r="E36" s="215"/>
      <c r="F36" s="216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16</v>
      </c>
      <c r="B38" s="164">
        <v>1</v>
      </c>
      <c r="C38" s="164"/>
      <c r="D38" s="157" t="s">
        <v>19</v>
      </c>
      <c r="E38" s="158">
        <v>45237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46</v>
      </c>
      <c r="C39" s="160"/>
      <c r="D39" s="78" t="s">
        <v>17</v>
      </c>
      <c r="E39" s="217" t="s">
        <v>18</v>
      </c>
      <c r="F39" s="218"/>
      <c r="G39" s="46"/>
    </row>
    <row r="40" spans="1:7" s="52" customFormat="1" x14ac:dyDescent="0.3">
      <c r="A40" s="48" t="s">
        <v>51</v>
      </c>
      <c r="B40" s="49">
        <v>4</v>
      </c>
      <c r="C40" s="152" t="str">
        <f xml:space="preserve"> IF(B40="","",setValueToTime(B40))</f>
        <v>0h20min</v>
      </c>
      <c r="D40" s="165" t="s">
        <v>52</v>
      </c>
      <c r="E40" s="219"/>
      <c r="F40" s="220"/>
      <c r="G40" s="51"/>
    </row>
    <row r="41" spans="1:7" s="52" customFormat="1" ht="29.25" customHeight="1" x14ac:dyDescent="0.3">
      <c r="A41" s="53" t="s">
        <v>50</v>
      </c>
      <c r="B41" s="54">
        <v>20</v>
      </c>
      <c r="C41" s="153" t="str">
        <f t="shared" ref="C41:C47" si="3" xml:space="preserve"> IF(B41="","",setValueToTime(B41))</f>
        <v>1h40min</v>
      </c>
      <c r="D41" s="166" t="s">
        <v>53</v>
      </c>
      <c r="E41" s="211"/>
      <c r="F41" s="212"/>
      <c r="G41" s="51"/>
    </row>
    <row r="42" spans="1:7" s="52" customFormat="1" x14ac:dyDescent="0.3">
      <c r="A42" s="53" t="s">
        <v>54</v>
      </c>
      <c r="B42" s="54">
        <v>36</v>
      </c>
      <c r="C42" s="153" t="str">
        <f t="shared" si="3"/>
        <v>3h</v>
      </c>
      <c r="D42" s="166" t="s">
        <v>55</v>
      </c>
      <c r="E42" s="222" t="s">
        <v>56</v>
      </c>
      <c r="F42" s="212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1"/>
      <c r="F43" s="212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1"/>
      <c r="F44" s="212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1"/>
      <c r="F45" s="212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1"/>
      <c r="F46" s="212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3"/>
      <c r="F47" s="214"/>
      <c r="G47" s="51"/>
    </row>
    <row r="48" spans="1:7" s="52" customFormat="1" ht="15" thickBot="1" x14ac:dyDescent="0.35">
      <c r="A48" s="162" t="s">
        <v>33</v>
      </c>
      <c r="B48" s="83">
        <f>SUM(B40:B47)</f>
        <v>60</v>
      </c>
      <c r="C48" s="162" t="str">
        <f xml:space="preserve"> setValueToTime(B48)</f>
        <v>5h</v>
      </c>
      <c r="D48" s="121"/>
      <c r="E48" s="215"/>
      <c r="F48" s="216"/>
      <c r="G48" s="51"/>
    </row>
    <row r="49" spans="1:7" s="59" customFormat="1" x14ac:dyDescent="0.3">
      <c r="A49" s="77"/>
      <c r="B49" s="77"/>
      <c r="C49" s="77"/>
      <c r="D49" s="77"/>
      <c r="E49" s="77"/>
      <c r="F49" s="77"/>
      <c r="G49" s="58"/>
    </row>
  </sheetData>
  <sheetProtection formatRows="0" insertRows="0" insertHyperlinks="0" deleteRows="0" selectLockedCells="1"/>
  <mergeCells count="4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44:F4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</mergeCells>
  <phoneticPr fontId="0" type="noConversion"/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48 B36 B24 B12">
      <formula1>0</formula1>
      <formula2>60</formula2>
    </dataValidation>
    <dataValidation type="list" allowBlank="1" showInputMessage="1" showErrorMessage="1" sqref="A40:A47 A28:A35 A16:A23 A4:A11">
      <formula1>ListeTaches</formula1>
    </dataValidation>
  </dataValidations>
  <hyperlinks>
    <hyperlink ref="E42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95"/>
      <c r="B10" s="195"/>
      <c r="C10" s="195"/>
      <c r="D10" s="195"/>
      <c r="E10" s="195"/>
      <c r="F10" s="195"/>
      <c r="G10" s="195"/>
      <c r="H10" s="195"/>
      <c r="I10" s="195"/>
      <c r="J10" s="195"/>
      <c r="K10" s="195"/>
      <c r="L10" s="195"/>
      <c r="M10" s="195"/>
      <c r="N10" s="195"/>
      <c r="O10" s="195"/>
      <c r="P10" s="195"/>
      <c r="Q10" s="195"/>
      <c r="R10" s="195"/>
      <c r="S10" s="195"/>
      <c r="T10" s="195"/>
      <c r="U10" s="195"/>
      <c r="V10" s="195"/>
      <c r="W10" s="195"/>
      <c r="X10" s="195"/>
      <c r="Y10" s="195"/>
      <c r="Z10" s="195"/>
      <c r="AA10" s="195"/>
      <c r="AB10" s="195"/>
      <c r="AC10" s="195"/>
      <c r="AD10" s="195"/>
      <c r="AE10" s="195"/>
      <c r="AF10" s="195"/>
      <c r="AG10" s="195"/>
      <c r="AH10" s="195"/>
      <c r="AI10" s="195"/>
      <c r="AJ10" s="195"/>
      <c r="AK10" s="195"/>
      <c r="AL10" s="195"/>
      <c r="AM10" s="195"/>
      <c r="AN10" s="195"/>
      <c r="AO10" s="195"/>
      <c r="AP10" s="195"/>
      <c r="AQ10" s="195"/>
      <c r="AR10" s="195"/>
      <c r="AS10" s="195"/>
      <c r="AT10" s="195"/>
      <c r="AU10" s="195"/>
      <c r="AV10" s="195"/>
      <c r="AW10" s="195"/>
      <c r="AX10" s="195"/>
      <c r="AY10" s="195"/>
      <c r="AZ10" s="195"/>
      <c r="BA10" s="195"/>
      <c r="BB10" s="195"/>
      <c r="BC10" s="195"/>
      <c r="BD10" s="195"/>
      <c r="BE10" s="195"/>
      <c r="BF10" s="195"/>
      <c r="BG10" s="195"/>
      <c r="BH10" s="195"/>
      <c r="BI10" s="90"/>
    </row>
    <row r="11" spans="1:61" ht="18" x14ac:dyDescent="0.25">
      <c r="A11" s="196"/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6"/>
      <c r="Z11" s="196"/>
      <c r="AA11" s="196"/>
      <c r="AB11" s="196"/>
      <c r="AC11" s="196"/>
      <c r="AD11" s="196"/>
      <c r="AE11" s="196"/>
      <c r="AF11" s="196"/>
      <c r="AG11" s="196"/>
      <c r="AH11" s="196"/>
      <c r="AI11" s="196"/>
      <c r="AJ11" s="196"/>
      <c r="AK11" s="196"/>
      <c r="AL11" s="196"/>
      <c r="AM11" s="196"/>
      <c r="AN11" s="196"/>
      <c r="AO11" s="196"/>
      <c r="AP11" s="196"/>
      <c r="AQ11" s="196"/>
      <c r="AR11" s="196"/>
      <c r="AS11" s="196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90"/>
    </row>
    <row r="12" spans="1:61" ht="18.75" thickBot="1" x14ac:dyDescent="0.3">
      <c r="A12" s="197"/>
      <c r="B12" s="197"/>
      <c r="C12" s="197"/>
      <c r="D12" s="197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90"/>
    </row>
    <row r="13" spans="1:61" ht="18.75" thickBot="1" x14ac:dyDescent="0.3">
      <c r="A13" s="179" t="s">
        <v>16</v>
      </c>
      <c r="B13" s="180"/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0"/>
      <c r="P13" s="180"/>
      <c r="Q13" s="180"/>
      <c r="R13" s="180"/>
      <c r="S13" s="180"/>
      <c r="T13" s="180"/>
      <c r="U13" s="180"/>
      <c r="V13" s="180"/>
      <c r="W13" s="180"/>
      <c r="X13" s="180"/>
      <c r="Y13" s="180"/>
      <c r="Z13" s="180"/>
      <c r="AA13" s="180"/>
      <c r="AB13" s="180"/>
      <c r="AC13" s="180"/>
      <c r="AD13" s="180"/>
      <c r="AE13" s="180"/>
      <c r="AF13" s="180"/>
      <c r="AG13" s="180"/>
      <c r="AH13" s="180"/>
      <c r="AI13" s="180"/>
      <c r="AJ13" s="180"/>
      <c r="AK13" s="180"/>
      <c r="AL13" s="180"/>
      <c r="AM13" s="180"/>
      <c r="AN13" s="180"/>
      <c r="AO13" s="180"/>
      <c r="AP13" s="180"/>
      <c r="AQ13" s="180"/>
      <c r="AR13" s="180"/>
      <c r="AS13" s="180"/>
      <c r="AT13" s="180"/>
      <c r="AU13" s="180"/>
      <c r="AV13" s="180"/>
      <c r="AW13" s="180"/>
      <c r="AX13" s="180"/>
      <c r="AY13" s="180"/>
      <c r="AZ13" s="180"/>
      <c r="BA13" s="180"/>
      <c r="BB13" s="180"/>
      <c r="BC13" s="180"/>
      <c r="BD13" s="180"/>
      <c r="BE13" s="180"/>
      <c r="BF13" s="180"/>
      <c r="BG13" s="180"/>
      <c r="BH13" s="181"/>
      <c r="BI13" s="90"/>
    </row>
    <row r="14" spans="1:61" ht="15.75" thickBot="1" x14ac:dyDescent="0.35">
      <c r="A14" s="103"/>
      <c r="B14" s="104"/>
      <c r="C14" s="104"/>
      <c r="D14" s="104"/>
      <c r="E14" s="182" t="s">
        <v>40</v>
      </c>
      <c r="F14" s="182"/>
      <c r="G14" s="182"/>
      <c r="H14" s="182"/>
      <c r="I14" s="104"/>
      <c r="J14" s="104"/>
      <c r="K14" s="183" t="s">
        <v>28</v>
      </c>
      <c r="L14" s="183"/>
      <c r="M14" s="183"/>
      <c r="N14" s="183"/>
      <c r="O14" s="129"/>
      <c r="P14" s="129"/>
      <c r="Q14" s="182" t="s">
        <v>41</v>
      </c>
      <c r="R14" s="182"/>
      <c r="S14" s="182"/>
      <c r="T14" s="182"/>
      <c r="U14" s="104"/>
      <c r="V14" s="104"/>
      <c r="W14" s="183" t="s">
        <v>29</v>
      </c>
      <c r="X14" s="183"/>
      <c r="Y14" s="183"/>
      <c r="Z14" s="183"/>
      <c r="AA14" s="129"/>
      <c r="AB14" s="129"/>
      <c r="AC14" s="182" t="s">
        <v>42</v>
      </c>
      <c r="AD14" s="182"/>
      <c r="AE14" s="182"/>
      <c r="AF14" s="182"/>
      <c r="AG14" s="104"/>
      <c r="AH14" s="104"/>
      <c r="AI14" s="183" t="s">
        <v>30</v>
      </c>
      <c r="AJ14" s="183"/>
      <c r="AK14" s="183"/>
      <c r="AL14" s="183"/>
      <c r="AM14" s="129"/>
      <c r="AN14" s="129"/>
      <c r="AO14" s="182" t="s">
        <v>43</v>
      </c>
      <c r="AP14" s="182"/>
      <c r="AQ14" s="182"/>
      <c r="AR14" s="182"/>
      <c r="AS14" s="104"/>
      <c r="AT14" s="104"/>
      <c r="AU14" s="183" t="s">
        <v>31</v>
      </c>
      <c r="AV14" s="183"/>
      <c r="AW14" s="183"/>
      <c r="AX14" s="183"/>
      <c r="AY14" s="129"/>
      <c r="AZ14" s="129"/>
      <c r="BA14" s="182" t="s">
        <v>44</v>
      </c>
      <c r="BB14" s="182"/>
      <c r="BC14" s="182"/>
      <c r="BD14" s="182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3">
        <v>1</v>
      </c>
      <c r="C1" s="163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46</v>
      </c>
      <c r="C2" s="151"/>
      <c r="D2" s="80" t="s">
        <v>17</v>
      </c>
      <c r="E2" s="225" t="s">
        <v>18</v>
      </c>
      <c r="F2" s="226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19"/>
      <c r="F3" s="220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1"/>
      <c r="F4" s="21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1"/>
      <c r="F5" s="21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1"/>
      <c r="F6" s="21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1"/>
      <c r="F7" s="21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1"/>
      <c r="F8" s="21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1"/>
      <c r="F9" s="21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3"/>
      <c r="F10" s="214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23"/>
      <c r="F11" s="224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16</v>
      </c>
      <c r="B1" s="164">
        <v>1</v>
      </c>
      <c r="C1" s="164"/>
      <c r="D1" s="157" t="s">
        <v>19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46</v>
      </c>
      <c r="C2" s="160"/>
      <c r="D2" s="78" t="s">
        <v>17</v>
      </c>
      <c r="E2" s="217" t="s">
        <v>18</v>
      </c>
      <c r="F2" s="218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19"/>
      <c r="F3" s="220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1"/>
      <c r="F4" s="21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1"/>
      <c r="F5" s="21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1"/>
      <c r="F6" s="21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1"/>
      <c r="F7" s="21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1"/>
      <c r="F8" s="21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1"/>
      <c r="F9" s="21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3"/>
      <c r="F10" s="214"/>
      <c r="G10" s="51"/>
    </row>
    <row r="11" spans="1:7" s="52" customFormat="1" ht="15" thickBot="1" x14ac:dyDescent="0.35">
      <c r="A11" s="162" t="s">
        <v>33</v>
      </c>
      <c r="B11" s="83">
        <f>SUM(B3:B10)</f>
        <v>0</v>
      </c>
      <c r="C11" s="162" t="str">
        <f xml:space="preserve"> setValueToTime(B11)</f>
        <v>0h</v>
      </c>
      <c r="D11" s="121"/>
      <c r="E11" s="215"/>
      <c r="F11" s="216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eate a new document." ma:contentTypeScope="" ma:versionID="f1477614ebe6855c7c93eeb549afaf14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db8bad8b1d177b0b9edef046461580ff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DCB69F36-E8B9-4448-99DC-AB9DBB31F6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Lucas Lordon</dc:creator>
  <cp:lastModifiedBy>Lucas Lordon</cp:lastModifiedBy>
  <cp:lastPrinted>2019-05-08T10:31:53Z</cp:lastPrinted>
  <dcterms:created xsi:type="dcterms:W3CDTF">1996-10-21T11:03:58Z</dcterms:created>
  <dcterms:modified xsi:type="dcterms:W3CDTF">2023-12-05T14:05:21Z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