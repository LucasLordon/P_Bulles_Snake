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30615" yWindow="1249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B36" i="12"/>
  <c r="C35" i="12"/>
  <c r="C34" i="12"/>
  <c r="C33" i="12"/>
  <c r="C32" i="12"/>
  <c r="C17" i="12"/>
  <c r="C24" i="12"/>
  <c r="C20" i="12"/>
  <c r="C18" i="12"/>
  <c r="C19" i="12"/>
  <c r="C16" i="12"/>
  <c r="C31" i="12"/>
  <c r="C30" i="12"/>
  <c r="C29" i="12"/>
  <c r="C28" i="12"/>
  <c r="C36" i="12"/>
  <c r="B48" i="12" l="1"/>
  <c r="C47" i="12"/>
  <c r="C46" i="12"/>
  <c r="C45" i="12"/>
  <c r="C44" i="12"/>
  <c r="B60" i="12"/>
  <c r="C59" i="12"/>
  <c r="C58" i="12"/>
  <c r="C57" i="12"/>
  <c r="C56" i="12"/>
  <c r="C55" i="12"/>
  <c r="C43" i="12"/>
  <c r="C42" i="12"/>
  <c r="C54" i="12"/>
  <c r="C53" i="12"/>
  <c r="C52" i="12"/>
  <c r="C60" i="12"/>
  <c r="C41" i="12"/>
  <c r="C40" i="12"/>
  <c r="C48" i="12"/>
  <c r="B72" i="12" l="1"/>
  <c r="C71" i="12"/>
  <c r="C70" i="12"/>
  <c r="C69" i="12"/>
  <c r="C68" i="12"/>
  <c r="C66" i="12"/>
  <c r="C67" i="12"/>
  <c r="C65" i="12"/>
  <c r="C64" i="12"/>
  <c r="C72" i="12"/>
  <c r="B84" i="12" l="1"/>
  <c r="C83" i="12"/>
  <c r="C82" i="12"/>
  <c r="C81" i="12"/>
  <c r="C80" i="12"/>
  <c r="C79" i="12"/>
  <c r="C78" i="12"/>
  <c r="C84" i="12"/>
  <c r="C77" i="12"/>
  <c r="C7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9" i="1"/>
  <c r="D37" i="1"/>
  <c r="D86" i="1"/>
  <c r="D54" i="1"/>
  <c r="D22" i="1"/>
  <c r="D67" i="1"/>
  <c r="D35" i="1"/>
  <c r="D84" i="1"/>
  <c r="D52" i="1"/>
  <c r="D20" i="1"/>
  <c r="C11" i="16"/>
  <c r="D65" i="1"/>
  <c r="D33" i="1"/>
  <c r="D82" i="1"/>
  <c r="D50" i="1"/>
  <c r="D18" i="1"/>
  <c r="C11" i="15"/>
  <c r="D63" i="1"/>
  <c r="D31" i="1"/>
  <c r="D80" i="1"/>
  <c r="D48" i="1"/>
  <c r="D16" i="1"/>
  <c r="D93" i="1"/>
  <c r="D61" i="1"/>
  <c r="D29" i="1"/>
  <c r="D78" i="1"/>
  <c r="D46" i="1"/>
  <c r="D91" i="1"/>
  <c r="D59" i="1"/>
  <c r="D27" i="1"/>
  <c r="D76" i="1"/>
  <c r="D44" i="1"/>
  <c r="D89" i="1"/>
  <c r="D57" i="1"/>
  <c r="D25" i="1"/>
  <c r="D74" i="1"/>
  <c r="D42" i="1"/>
  <c r="D87" i="1"/>
  <c r="D55" i="1"/>
  <c r="D23" i="1"/>
  <c r="D72" i="1"/>
  <c r="D40" i="1"/>
  <c r="D85" i="1"/>
  <c r="D53" i="1"/>
  <c r="D21" i="1"/>
  <c r="D70" i="1"/>
  <c r="D38" i="1"/>
  <c r="D83" i="1"/>
  <c r="D51" i="1"/>
  <c r="D19" i="1"/>
  <c r="D68" i="1"/>
  <c r="D36" i="1"/>
  <c r="D81" i="1"/>
  <c r="D49" i="1"/>
  <c r="D17" i="1"/>
  <c r="D66" i="1"/>
  <c r="D34" i="1"/>
  <c r="D79" i="1"/>
  <c r="D47" i="1"/>
  <c r="D15" i="1"/>
  <c r="D64" i="1"/>
  <c r="D32" i="1"/>
  <c r="D77" i="1"/>
  <c r="D45" i="1"/>
  <c r="D94" i="1"/>
  <c r="D62" i="1"/>
  <c r="D30" i="1"/>
  <c r="D75" i="1"/>
  <c r="D43" i="1"/>
  <c r="D92" i="1"/>
  <c r="D60" i="1"/>
  <c r="D28" i="1"/>
  <c r="D73" i="1"/>
  <c r="D41" i="1"/>
  <c r="D90" i="1"/>
  <c r="D58" i="1"/>
  <c r="D26" i="1"/>
  <c r="D71" i="1"/>
  <c r="D39" i="1"/>
  <c r="D88" i="1"/>
  <c r="D56" i="1"/>
  <c r="D24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<sst xmlns="http://schemas.openxmlformats.org/spreadsheetml/2006/main" count="258" uniqueCount="82">
  <si>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</si>
  <si>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</si>
  <si>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</si>
  <si>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</si>
  <si>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</si>
  <si>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</si>
  <si>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</si>
  <si>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</si>
  <si>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</si>
  <si>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</si>
  <si>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</si>
  <si>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</si>
  <si>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</si>
  <si>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</si>
  <si>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</si>
  <si>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</si>
  <si>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</si>
  <si>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</si>
  <si>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</si>
  <si>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</si>
  <si>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</si>
  <si>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</si>
  <si>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</si>
  <si>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</si>
  <si>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</si>
  <si>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</si>
  <si>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</si>
  <si>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</si>
  <si>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</si>
  <si>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</si>
  <si>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</si>
  <si>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</si>
  <si>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</si>
  <si>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</si>
  <si>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</si>
  <si>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</si>
  <si>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</si>
  <si>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</si>
  <si>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</si>
  <si>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</si>
  <si>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</si>
  <si>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</si>
  <si>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</si>
  <si>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</si>
  <si>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</si>
  <si>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</si>
  <si>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</si>
  <si>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</si>
  <si>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</si>
  <si>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</si>
  <si>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</si>
  <si>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</si>
  <si>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</si>
  <si>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</si>
  <si>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</si>
  <si>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</si>
  <si>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</si>
  <si>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</si>
  <si>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</si>
  <si>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</si>
  <si>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</si>
  <si>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</si>
  <si>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</si>
  <si>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</si>
  <si>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</si>
  <si>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</si>
  <si>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</si>
  <si>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</si>
  <si>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</si>
  <si>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</si>
  <si>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</si>
  <si>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</si>
  <si>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</si>
  <si>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</si>
  <si>
    <t>Explication + test de nos snake</t>
  </si>
  <si>
    <t>edit de la logique d'une boucle du snake</t>
  </si>
  <si>
    <t>début projet machine</t>
  </si>
  <si>
    <t>modifier la valeur des bouton</t>
  </si>
  <si>
    <t>Discution prochain projet</t>
  </si>
  <si>
    <t>info sur projet machine</t>
  </si>
  <si>
    <t>ajout des constante</t>
  </si>
  <si>
    <t>finir jeu 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</si>
</sst>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0" fillId="0" borderId="33" xfId="0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38</v>
      </c>
      <c r="C35" s="159"/>
      <c r="D35" s="159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39</v>
      </c>
      <c r="C37" s="160"/>
      <c r="D37" s="160"/>
      <c r="E37" s="93" t="s">
        <v>63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7" t="s">
        <v>64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63" t="s">
        <v>35</v>
      </c>
      <c r="D1" s="163"/>
      <c r="E1" s="16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64"/>
      <c r="D7" s="164"/>
      <c r="E7" s="16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75" t="str">
        <f>E96</f>
        <v>0h</v>
      </c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03"/>
      <c r="W9" s="174" t="s">
        <v>27</v>
      </c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5" t="str">
        <f>E98</f>
        <v>7h45min</v>
      </c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77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75"/>
    </row>
    <row r="11" spans="1:186" ht="20.100000000000001" customHeight="1" x14ac:dyDescent="0.25">
      <c r="B11" s="53"/>
      <c r="C11" s="161"/>
      <c r="D11" s="161"/>
      <c r="E11" s="161"/>
      <c r="F11" s="173" t="s">
        <v>48</v>
      </c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 t="s">
        <v>48</v>
      </c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8" t="s">
        <v>48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75"/>
    </row>
    <row r="12" spans="1:186" ht="15.75" customHeight="1" thickBot="1" x14ac:dyDescent="0.3">
      <c r="B12" s="81"/>
      <c r="C12" s="162"/>
      <c r="D12" s="162"/>
      <c r="E12" s="162"/>
      <c r="F12" s="172" t="s">
        <v>49</v>
      </c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 t="s">
        <v>49</v>
      </c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  <c r="DA12" s="172"/>
      <c r="DB12" s="172"/>
      <c r="DC12" s="172"/>
      <c r="DD12" s="172"/>
      <c r="DE12" s="172"/>
      <c r="DF12" s="172"/>
      <c r="DG12" s="172"/>
      <c r="DH12" s="172"/>
      <c r="DI12" s="172"/>
      <c r="DJ12" s="172"/>
      <c r="DK12" s="172"/>
      <c r="DL12" s="172"/>
      <c r="DM12" s="172"/>
      <c r="DN12" s="172"/>
      <c r="DO12" s="172"/>
      <c r="DP12" s="172"/>
      <c r="DQ12" s="172"/>
      <c r="DR12" s="172"/>
      <c r="DS12" s="172"/>
      <c r="DT12" s="172"/>
      <c r="DU12" s="172"/>
      <c r="DV12" s="179" t="s">
        <v>49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75"/>
    </row>
    <row r="13" spans="1:186" ht="42.75" customHeight="1" thickBot="1" x14ac:dyDescent="0.3">
      <c r="B13" s="53"/>
      <c r="C13" s="168" t="s">
        <v>7</v>
      </c>
      <c r="D13" s="127"/>
      <c r="E13" s="170" t="s">
        <v>45</v>
      </c>
      <c r="F13" s="180" t="s">
        <v>8</v>
      </c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2"/>
      <c r="BN13" s="180" t="s">
        <v>32</v>
      </c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1"/>
      <c r="DG13" s="181"/>
      <c r="DH13" s="181"/>
      <c r="DI13" s="181"/>
      <c r="DJ13" s="181"/>
      <c r="DK13" s="181"/>
      <c r="DL13" s="181"/>
      <c r="DM13" s="181"/>
      <c r="DN13" s="181"/>
      <c r="DO13" s="181"/>
      <c r="DP13" s="181"/>
      <c r="DQ13" s="181"/>
      <c r="DR13" s="181"/>
      <c r="DS13" s="181"/>
      <c r="DT13" s="181"/>
      <c r="DU13" s="182"/>
      <c r="DV13" s="180" t="s">
        <v>23</v>
      </c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1"/>
      <c r="EL13" s="181"/>
      <c r="EM13" s="181"/>
      <c r="EN13" s="181"/>
      <c r="EO13" s="181"/>
      <c r="EP13" s="181"/>
      <c r="EQ13" s="181"/>
      <c r="ER13" s="181"/>
      <c r="ES13" s="181"/>
      <c r="ET13" s="181"/>
      <c r="EU13" s="181"/>
      <c r="EV13" s="181"/>
      <c r="EW13" s="181"/>
      <c r="EX13" s="181"/>
      <c r="EY13" s="181"/>
      <c r="EZ13" s="181"/>
      <c r="FA13" s="181"/>
      <c r="FB13" s="181"/>
      <c r="FC13" s="181"/>
      <c r="FD13" s="181"/>
      <c r="FE13" s="181"/>
      <c r="FF13" s="181"/>
      <c r="FG13" s="181"/>
      <c r="FH13" s="181"/>
      <c r="FI13" s="181"/>
      <c r="FJ13" s="181"/>
      <c r="FK13" s="181"/>
      <c r="FL13" s="181"/>
      <c r="FM13" s="181"/>
      <c r="FN13" s="181"/>
      <c r="FO13" s="181"/>
      <c r="FP13" s="181"/>
      <c r="FQ13" s="181"/>
      <c r="FR13" s="181"/>
      <c r="FS13" s="181"/>
      <c r="FT13" s="181"/>
      <c r="FU13" s="181"/>
      <c r="FV13" s="181"/>
      <c r="FW13" s="181"/>
      <c r="FX13" s="181"/>
      <c r="FY13" s="181"/>
      <c r="FZ13" s="181"/>
      <c r="GA13" s="181"/>
      <c r="GB13" s="181"/>
      <c r="GC13" s="182"/>
      <c r="GD13" s="75"/>
    </row>
    <row r="14" spans="1:186" ht="12.75" customHeight="1" thickBot="1" x14ac:dyDescent="0.35">
      <c r="B14" s="53"/>
      <c r="C14" s="169"/>
      <c r="D14" s="128"/>
      <c r="E14" s="171"/>
      <c r="F14" s="87"/>
      <c r="G14" s="88"/>
      <c r="H14" s="88"/>
      <c r="I14" s="88"/>
      <c r="J14" s="183" t="s">
        <v>40</v>
      </c>
      <c r="K14" s="183"/>
      <c r="L14" s="183"/>
      <c r="M14" s="183"/>
      <c r="N14" s="88"/>
      <c r="O14" s="88"/>
      <c r="P14" s="184" t="s">
        <v>28</v>
      </c>
      <c r="Q14" s="184"/>
      <c r="R14" s="184"/>
      <c r="S14" s="184"/>
      <c r="T14" s="112"/>
      <c r="U14" s="112"/>
      <c r="V14" s="183" t="s">
        <v>41</v>
      </c>
      <c r="W14" s="183"/>
      <c r="X14" s="183"/>
      <c r="Y14" s="183"/>
      <c r="Z14" s="88"/>
      <c r="AA14" s="88"/>
      <c r="AB14" s="184" t="s">
        <v>29</v>
      </c>
      <c r="AC14" s="184"/>
      <c r="AD14" s="184"/>
      <c r="AE14" s="184"/>
      <c r="AF14" s="112"/>
      <c r="AG14" s="112"/>
      <c r="AH14" s="183" t="s">
        <v>42</v>
      </c>
      <c r="AI14" s="183"/>
      <c r="AJ14" s="183"/>
      <c r="AK14" s="183"/>
      <c r="AL14" s="88"/>
      <c r="AM14" s="88"/>
      <c r="AN14" s="184" t="s">
        <v>30</v>
      </c>
      <c r="AO14" s="184"/>
      <c r="AP14" s="184"/>
      <c r="AQ14" s="184"/>
      <c r="AR14" s="112"/>
      <c r="AS14" s="112"/>
      <c r="AT14" s="183" t="s">
        <v>43</v>
      </c>
      <c r="AU14" s="183"/>
      <c r="AV14" s="183"/>
      <c r="AW14" s="183"/>
      <c r="AX14" s="88"/>
      <c r="AY14" s="88"/>
      <c r="AZ14" s="184" t="s">
        <v>31</v>
      </c>
      <c r="BA14" s="184"/>
      <c r="BB14" s="184"/>
      <c r="BC14" s="184"/>
      <c r="BD14" s="112"/>
      <c r="BE14" s="112"/>
      <c r="BF14" s="183" t="s">
        <v>44</v>
      </c>
      <c r="BG14" s="183"/>
      <c r="BH14" s="183"/>
      <c r="BI14" s="183"/>
      <c r="BJ14" s="88"/>
      <c r="BK14" s="88"/>
      <c r="BL14" s="88"/>
      <c r="BM14" s="89"/>
      <c r="BN14" s="87"/>
      <c r="BO14" s="88"/>
      <c r="BP14" s="88"/>
      <c r="BQ14" s="88"/>
      <c r="BR14" s="183" t="s">
        <v>40</v>
      </c>
      <c r="BS14" s="183"/>
      <c r="BT14" s="183"/>
      <c r="BU14" s="183"/>
      <c r="BV14" s="88"/>
      <c r="BW14" s="88"/>
      <c r="BX14" s="184" t="s">
        <v>28</v>
      </c>
      <c r="BY14" s="184"/>
      <c r="BZ14" s="184"/>
      <c r="CA14" s="184"/>
      <c r="CB14" s="112"/>
      <c r="CC14" s="112"/>
      <c r="CD14" s="183" t="s">
        <v>41</v>
      </c>
      <c r="CE14" s="183"/>
      <c r="CF14" s="183"/>
      <c r="CG14" s="183"/>
      <c r="CH14" s="88"/>
      <c r="CI14" s="88"/>
      <c r="CJ14" s="184" t="s">
        <v>29</v>
      </c>
      <c r="CK14" s="184"/>
      <c r="CL14" s="184"/>
      <c r="CM14" s="184"/>
      <c r="CN14" s="112"/>
      <c r="CO14" s="112"/>
      <c r="CP14" s="183" t="s">
        <v>42</v>
      </c>
      <c r="CQ14" s="183"/>
      <c r="CR14" s="183"/>
      <c r="CS14" s="183"/>
      <c r="CT14" s="88"/>
      <c r="CU14" s="88"/>
      <c r="CV14" s="184" t="s">
        <v>30</v>
      </c>
      <c r="CW14" s="184"/>
      <c r="CX14" s="184"/>
      <c r="CY14" s="184"/>
      <c r="CZ14" s="112"/>
      <c r="DA14" s="112"/>
      <c r="DB14" s="183" t="s">
        <v>43</v>
      </c>
      <c r="DC14" s="183"/>
      <c r="DD14" s="183"/>
      <c r="DE14" s="183"/>
      <c r="DF14" s="88"/>
      <c r="DG14" s="88"/>
      <c r="DH14" s="184" t="s">
        <v>31</v>
      </c>
      <c r="DI14" s="184"/>
      <c r="DJ14" s="184"/>
      <c r="DK14" s="184"/>
      <c r="DL14" s="112"/>
      <c r="DM14" s="112"/>
      <c r="DN14" s="183" t="s">
        <v>44</v>
      </c>
      <c r="DO14" s="183"/>
      <c r="DP14" s="183"/>
      <c r="DQ14" s="183"/>
      <c r="DR14" s="88"/>
      <c r="DS14" s="88"/>
      <c r="DT14" s="88"/>
      <c r="DU14" s="89"/>
      <c r="DV14" s="87"/>
      <c r="DW14" s="88"/>
      <c r="DX14" s="88"/>
      <c r="DY14" s="88"/>
      <c r="DZ14" s="183" t="s">
        <v>40</v>
      </c>
      <c r="EA14" s="183"/>
      <c r="EB14" s="183"/>
      <c r="EC14" s="183"/>
      <c r="ED14" s="88"/>
      <c r="EE14" s="88"/>
      <c r="EF14" s="184" t="s">
        <v>28</v>
      </c>
      <c r="EG14" s="184"/>
      <c r="EH14" s="184"/>
      <c r="EI14" s="184"/>
      <c r="EJ14" s="112"/>
      <c r="EK14" s="112"/>
      <c r="EL14" s="183" t="s">
        <v>41</v>
      </c>
      <c r="EM14" s="183"/>
      <c r="EN14" s="183"/>
      <c r="EO14" s="183"/>
      <c r="EP14" s="88"/>
      <c r="EQ14" s="88"/>
      <c r="ER14" s="184" t="s">
        <v>29</v>
      </c>
      <c r="ES14" s="184"/>
      <c r="ET14" s="184"/>
      <c r="EU14" s="184"/>
      <c r="EV14" s="112"/>
      <c r="EW14" s="112"/>
      <c r="EX14" s="183" t="s">
        <v>42</v>
      </c>
      <c r="EY14" s="183"/>
      <c r="EZ14" s="183"/>
      <c r="FA14" s="183"/>
      <c r="FB14" s="88"/>
      <c r="FC14" s="88"/>
      <c r="FD14" s="184" t="s">
        <v>30</v>
      </c>
      <c r="FE14" s="184"/>
      <c r="FF14" s="184"/>
      <c r="FG14" s="184"/>
      <c r="FH14" s="112"/>
      <c r="FI14" s="112"/>
      <c r="FJ14" s="183" t="s">
        <v>43</v>
      </c>
      <c r="FK14" s="183"/>
      <c r="FL14" s="183"/>
      <c r="FM14" s="183"/>
      <c r="FN14" s="88"/>
      <c r="FO14" s="88"/>
      <c r="FP14" s="184" t="s">
        <v>31</v>
      </c>
      <c r="FQ14" s="184"/>
      <c r="FR14" s="184"/>
      <c r="FS14" s="184"/>
      <c r="FT14" s="112"/>
      <c r="FU14" s="112"/>
      <c r="FV14" s="183" t="s">
        <v>44</v>
      </c>
      <c r="FW14" s="183"/>
      <c r="FX14" s="183"/>
      <c r="FY14" s="183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65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66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65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66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65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67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65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67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65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67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65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66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2"/>
      <c r="K26" s="153"/>
      <c r="L26" s="152"/>
      <c r="M26" s="152"/>
      <c r="N26" s="152"/>
      <c r="O26" s="152"/>
      <c r="P26" s="152"/>
      <c r="Q26" s="154"/>
      <c r="R26" s="152"/>
      <c r="S26" s="152"/>
      <c r="T26" s="152"/>
      <c r="U26" s="152"/>
      <c r="V26" s="152"/>
      <c r="W26" s="155"/>
      <c r="X26" s="152"/>
      <c r="Y26" s="152"/>
      <c r="Z26" s="152"/>
      <c r="AA26" s="152"/>
      <c r="AB26" s="152"/>
      <c r="AC26" s="154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65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66"/>
      <c r="D28" s="131" t="str">
        <f t="shared" si="0"/>
        <v>0h20min</v>
      </c>
      <c r="E28" s="22">
        <v>4</v>
      </c>
      <c r="F28" s="150"/>
      <c r="G28" s="151"/>
      <c r="H28" s="151"/>
      <c r="I28" s="151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65" t="s">
        <v>54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66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2"/>
      <c r="AE30" s="152"/>
      <c r="AF30" s="152"/>
      <c r="AG30" s="152"/>
      <c r="AH30" s="152"/>
      <c r="AI30" s="155"/>
      <c r="AJ30" s="152"/>
      <c r="AK30" s="152"/>
      <c r="AL30" s="152"/>
      <c r="AM30" s="152"/>
      <c r="AN30" s="152"/>
      <c r="AO30" s="154"/>
      <c r="AP30" s="152"/>
      <c r="AQ30" s="152"/>
      <c r="AR30" s="152"/>
      <c r="AS30" s="152"/>
      <c r="AT30" s="152"/>
      <c r="AU30" s="155"/>
      <c r="AV30" s="152"/>
      <c r="AW30" s="152"/>
      <c r="AX30" s="152"/>
      <c r="AY30" s="152"/>
      <c r="AZ30" s="152"/>
      <c r="BA30" s="154"/>
      <c r="BB30" s="152"/>
      <c r="BC30" s="152"/>
      <c r="BD30" s="152"/>
      <c r="BE30" s="152"/>
      <c r="BF30" s="152"/>
      <c r="BG30" s="155"/>
      <c r="BH30" s="152"/>
      <c r="BI30" s="152"/>
      <c r="BJ30" s="152"/>
      <c r="BK30" s="152"/>
      <c r="BL30" s="152"/>
      <c r="BM30" s="156"/>
      <c r="BN30" s="31"/>
      <c r="BO30" s="32"/>
      <c r="BP30" s="32"/>
      <c r="BQ30" s="152"/>
      <c r="BR30" s="152"/>
      <c r="BS30" s="153"/>
      <c r="BT30" s="152"/>
      <c r="BU30" s="152"/>
      <c r="BV30" s="15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65" t="s">
        <v>57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66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50"/>
      <c r="BO32" s="151"/>
      <c r="BP32" s="151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65" t="s">
        <v>61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66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2"/>
      <c r="BX34" s="152"/>
      <c r="BY34" s="154"/>
      <c r="BZ34" s="152"/>
      <c r="CA34" s="152"/>
      <c r="CB34" s="152"/>
      <c r="CC34" s="152"/>
      <c r="CD34" s="152"/>
      <c r="CE34" s="155"/>
      <c r="CF34" s="152"/>
      <c r="CG34" s="152"/>
      <c r="CH34" s="152"/>
      <c r="CI34" s="152"/>
      <c r="CJ34" s="152"/>
      <c r="CK34" s="154"/>
      <c r="CL34" s="152"/>
      <c r="CM34" s="152"/>
      <c r="CN34" s="152"/>
      <c r="CO34" s="152"/>
      <c r="CP34" s="152"/>
      <c r="CQ34" s="155"/>
      <c r="CR34" s="152"/>
      <c r="CS34" s="152"/>
      <c r="CT34" s="15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65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67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65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66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65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67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65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66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65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66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65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6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65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66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65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66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65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67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65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66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24</v>
      </c>
      <c r="B55" s="53"/>
      <c r="C55" s="165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67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24</v>
      </c>
      <c r="B57" s="53"/>
      <c r="C57" s="165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66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24</v>
      </c>
      <c r="B59" s="53"/>
      <c r="C59" s="165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66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24</v>
      </c>
      <c r="B61" s="53"/>
      <c r="C61" s="165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6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24</v>
      </c>
      <c r="B63" s="53"/>
      <c r="C63" s="165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66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24</v>
      </c>
      <c r="B65" s="53"/>
      <c r="C65" s="165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66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24</v>
      </c>
      <c r="B67" s="53"/>
      <c r="C67" s="165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6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24</v>
      </c>
      <c r="B69" s="53"/>
      <c r="C69" s="165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66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24</v>
      </c>
      <c r="B71" s="53"/>
      <c r="C71" s="165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67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24</v>
      </c>
      <c r="B73" s="53"/>
      <c r="C73" s="165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66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24</v>
      </c>
      <c r="B75" s="53"/>
      <c r="C75" s="165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66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24</v>
      </c>
      <c r="B77" s="53"/>
      <c r="C77" s="165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67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24</v>
      </c>
      <c r="B79" s="53"/>
      <c r="C79" s="165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66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24</v>
      </c>
      <c r="B81" s="53"/>
      <c r="C81" s="165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66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24</v>
      </c>
      <c r="B83" s="53"/>
      <c r="C83" s="165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67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24</v>
      </c>
      <c r="B85" s="53"/>
      <c r="C85" s="165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66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24</v>
      </c>
      <c r="B87" s="53"/>
      <c r="C87" s="165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67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24</v>
      </c>
      <c r="B89" s="53"/>
      <c r="C89" s="165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66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24</v>
      </c>
      <c r="B91" s="53"/>
      <c r="C91" s="165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66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24</v>
      </c>
      <c r="B93" s="53"/>
      <c r="C93" s="165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67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89" t="s">
        <v>9</v>
      </c>
      <c r="D95" s="190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91"/>
      <c r="D96" s="192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85" t="s">
        <v>10</v>
      </c>
      <c r="D97" s="186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7"/>
      <c r="D98" s="188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62" activePane="bottomLeft" state="frozen"/>
      <selection pane="bottomLeft" activeCell="I68" sqref="I68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8554687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7</v>
      </c>
      <c r="C2" s="147"/>
      <c r="D2" s="140" t="s">
        <v>19</v>
      </c>
      <c r="E2" s="141">
        <v>45300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99" t="s">
        <v>18</v>
      </c>
      <c r="F3" s="200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1"/>
      <c r="F4" s="202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5"/>
      <c r="F11" s="196"/>
      <c r="G11" s="3"/>
    </row>
    <row r="12" spans="1:7" s="44" customFormat="1" ht="15" thickBot="1" x14ac:dyDescent="0.35">
      <c r="A12" s="145" t="s">
        <v>33</v>
      </c>
      <c r="B12" s="68">
        <f>SUM(B4:B11)</f>
        <v>0</v>
      </c>
      <c r="C12" s="145" t="str">
        <f xml:space="preserve"> setValueToTime(B12)</f>
        <v>0h</v>
      </c>
      <c r="D12" s="105"/>
      <c r="E12" s="197"/>
      <c r="F12" s="19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6</v>
      </c>
      <c r="C14" s="147"/>
      <c r="D14" s="140" t="s">
        <v>19</v>
      </c>
      <c r="E14" s="141">
        <v>45279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99" t="s">
        <v>18</v>
      </c>
      <c r="F15" s="200"/>
      <c r="G15" s="39"/>
    </row>
    <row r="16" spans="1:7" s="44" customFormat="1" x14ac:dyDescent="0.3">
      <c r="A16" s="41"/>
      <c r="B16" s="42">
        <v>2</v>
      </c>
      <c r="C16" s="135" t="str">
        <f xml:space="preserve"> IF(B16="","",setValueToTime(B16))</f>
        <v>0h10min</v>
      </c>
      <c r="D16" s="43" t="s">
        <v>69</v>
      </c>
      <c r="E16" s="201"/>
      <c r="F16" s="202"/>
      <c r="G16" s="3"/>
    </row>
    <row r="17" spans="1:7" s="44" customFormat="1" x14ac:dyDescent="0.3">
      <c r="A17" s="45"/>
      <c r="B17" s="46">
        <v>1</v>
      </c>
      <c r="C17" s="136" t="str">
        <f t="shared" ref="C17:C23" si="1" xml:space="preserve"> IF(B17="","",setValueToTime(B17))</f>
        <v>0h5min</v>
      </c>
      <c r="D17" s="149" t="s">
        <v>70</v>
      </c>
      <c r="E17" s="193"/>
      <c r="F17" s="194"/>
      <c r="G17" s="3"/>
    </row>
    <row r="18" spans="1:7" s="44" customFormat="1" x14ac:dyDescent="0.3">
      <c r="A18" s="45"/>
      <c r="B18" s="46">
        <v>20</v>
      </c>
      <c r="C18" s="136" t="str">
        <f t="shared" si="1"/>
        <v>1h40min</v>
      </c>
      <c r="D18" s="47" t="s">
        <v>71</v>
      </c>
      <c r="E18" s="193"/>
      <c r="F18" s="194"/>
      <c r="G18" s="3"/>
    </row>
    <row r="19" spans="1:7" s="44" customFormat="1" x14ac:dyDescent="0.3">
      <c r="A19" s="45"/>
      <c r="B19" s="46">
        <v>3</v>
      </c>
      <c r="C19" s="136" t="str">
        <f t="shared" si="1"/>
        <v>0h15min</v>
      </c>
      <c r="D19" s="47" t="s">
        <v>72</v>
      </c>
      <c r="E19" s="193"/>
      <c r="F19" s="194"/>
      <c r="G19" s="3"/>
    </row>
    <row r="20" spans="1:7" s="44" customFormat="1" x14ac:dyDescent="0.3">
      <c r="A20" s="46"/>
      <c r="B20" s="46">
        <v>16</v>
      </c>
      <c r="C20" s="137" t="str">
        <f t="shared" si="1"/>
        <v>1h20min</v>
      </c>
      <c r="D20" s="47" t="s">
        <v>73</v>
      </c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5"/>
      <c r="F23" s="196"/>
      <c r="G23" s="3"/>
    </row>
    <row r="24" spans="1:7" s="44" customFormat="1" ht="15" thickBot="1" x14ac:dyDescent="0.35">
      <c r="A24" s="145" t="s">
        <v>33</v>
      </c>
      <c r="B24" s="68">
        <f>SUM(B16:B23)</f>
        <v>42</v>
      </c>
      <c r="C24" s="145" t="str">
        <f xml:space="preserve"> setValueToTime(B24)</f>
        <v>3h30min</v>
      </c>
      <c r="D24" s="105"/>
      <c r="E24" s="197"/>
      <c r="F24" s="19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16</v>
      </c>
      <c r="B26" s="147">
        <v>5</v>
      </c>
      <c r="C26" s="147"/>
      <c r="D26" s="140" t="s">
        <v>19</v>
      </c>
      <c r="E26" s="141">
        <v>45272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46</v>
      </c>
      <c r="C27" s="143"/>
      <c r="D27" s="63" t="s">
        <v>17</v>
      </c>
      <c r="E27" s="199" t="s">
        <v>18</v>
      </c>
      <c r="F27" s="200"/>
      <c r="G27" s="39"/>
    </row>
    <row r="28" spans="1:7" s="44" customFormat="1" x14ac:dyDescent="0.3">
      <c r="A28" s="41"/>
      <c r="B28" s="42">
        <v>5</v>
      </c>
      <c r="C28" s="135" t="str">
        <f xml:space="preserve"> IF(B28="","",setValueToTime(B28))</f>
        <v>0h25min</v>
      </c>
      <c r="D28" s="43" t="s">
        <v>74</v>
      </c>
      <c r="E28" s="201"/>
      <c r="F28" s="202"/>
      <c r="G28" s="3"/>
    </row>
    <row r="29" spans="1:7" s="44" customFormat="1" x14ac:dyDescent="0.3">
      <c r="A29" s="45"/>
      <c r="B29" s="46">
        <v>8</v>
      </c>
      <c r="C29" s="136" t="str">
        <f t="shared" ref="C29:C35" si="2" xml:space="preserve"> IF(B29="","",setValueToTime(B29))</f>
        <v>0h40min</v>
      </c>
      <c r="D29" s="47" t="s">
        <v>75</v>
      </c>
      <c r="E29" s="193"/>
      <c r="F29" s="194"/>
      <c r="G29" s="3"/>
    </row>
    <row r="30" spans="1:7" s="44" customFormat="1" x14ac:dyDescent="0.3">
      <c r="A30" s="45"/>
      <c r="B30" s="46">
        <v>18</v>
      </c>
      <c r="C30" s="136" t="str">
        <f t="shared" si="2"/>
        <v>1h30min</v>
      </c>
      <c r="D30" s="47" t="s">
        <v>76</v>
      </c>
      <c r="E30" s="193"/>
      <c r="F30" s="194"/>
      <c r="G30" s="3"/>
    </row>
    <row r="31" spans="1:7" s="44" customFormat="1" x14ac:dyDescent="0.3">
      <c r="A31" s="45"/>
      <c r="B31" s="46">
        <v>25</v>
      </c>
      <c r="C31" s="136" t="str">
        <f t="shared" si="2"/>
        <v>2h5min</v>
      </c>
      <c r="D31" s="47" t="s">
        <v>77</v>
      </c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3"/>
      <c r="F34" s="194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5"/>
      <c r="F35" s="196"/>
      <c r="G35" s="3"/>
    </row>
    <row r="36" spans="1:7" s="44" customFormat="1" ht="15" thickBot="1" x14ac:dyDescent="0.35">
      <c r="A36" s="145" t="s">
        <v>33</v>
      </c>
      <c r="B36" s="68">
        <f>SUM(B28:B35)</f>
        <v>56</v>
      </c>
      <c r="C36" s="145" t="str">
        <f xml:space="preserve"> setValueToTime(B36)</f>
        <v>4h40min</v>
      </c>
      <c r="D36" s="105"/>
      <c r="E36" s="197"/>
      <c r="F36" s="19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16</v>
      </c>
      <c r="B38" s="147">
        <v>4</v>
      </c>
      <c r="C38" s="147"/>
      <c r="D38" s="140" t="s">
        <v>19</v>
      </c>
      <c r="E38" s="141">
        <v>45265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46</v>
      </c>
      <c r="C39" s="143"/>
      <c r="D39" s="63" t="s">
        <v>17</v>
      </c>
      <c r="E39" s="199" t="s">
        <v>18</v>
      </c>
      <c r="F39" s="200"/>
      <c r="G39" s="39"/>
    </row>
    <row r="40" spans="1:7" s="44" customFormat="1" x14ac:dyDescent="0.3">
      <c r="A40" s="41"/>
      <c r="B40" s="42">
        <v>1</v>
      </c>
      <c r="C40" s="135" t="str">
        <f xml:space="preserve"> IF(B40="","",setValueToTime(B40))</f>
        <v>0h5min</v>
      </c>
      <c r="D40" s="43" t="s">
        <v>78</v>
      </c>
      <c r="E40" s="201"/>
      <c r="F40" s="202"/>
      <c r="G40" s="3"/>
    </row>
    <row r="41" spans="1:7" s="44" customFormat="1" x14ac:dyDescent="0.3">
      <c r="A41" s="45"/>
      <c r="B41" s="46">
        <v>2</v>
      </c>
      <c r="C41" s="136" t="str">
        <f xml:space="preserve"> IF(B41="","",setValueToTime(B41))</f>
        <v>0h10min</v>
      </c>
      <c r="D41" s="47" t="s">
        <v>79</v>
      </c>
      <c r="E41" s="193"/>
      <c r="F41" s="194"/>
      <c r="G41" s="3"/>
    </row>
    <row r="42" spans="1:7" s="44" customFormat="1" x14ac:dyDescent="0.3">
      <c r="A42" s="45"/>
      <c r="B42" s="46">
        <v>9</v>
      </c>
      <c r="C42" s="136" t="str">
        <f xml:space="preserve"> IF(B42="","",setValueToTime(B42))</f>
        <v>0h45min</v>
      </c>
      <c r="D42" s="47" t="s">
        <v>80</v>
      </c>
      <c r="E42" s="193"/>
      <c r="F42" s="194"/>
      <c r="G42" s="3"/>
    </row>
    <row r="43" spans="1:7" s="44" customFormat="1" x14ac:dyDescent="0.3">
      <c r="A43" s="45"/>
      <c r="B43" s="46">
        <v>30</v>
      </c>
      <c r="C43" s="136" t="str">
        <f t="shared" ref="C43:C47" si="3" xml:space="preserve"> IF(B43="","",setValueToTime(B43))</f>
        <v>2h30min</v>
      </c>
      <c r="D43" s="47" t="s">
        <v>81</v>
      </c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33</v>
      </c>
      <c r="B48" s="68">
        <f>SUM(B40:B47)</f>
        <v>42</v>
      </c>
      <c r="C48" s="145" t="str">
        <f xml:space="preserve"> setValueToTime(B48)</f>
        <v>3h30min</v>
      </c>
      <c r="D48" s="105"/>
      <c r="E48" s="197"/>
      <c r="F48" s="19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16</v>
      </c>
      <c r="B50" s="147">
        <v>3</v>
      </c>
      <c r="C50" s="147"/>
      <c r="D50" s="140" t="s">
        <v>19</v>
      </c>
      <c r="E50" s="141">
        <v>45251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46</v>
      </c>
      <c r="C51" s="143"/>
      <c r="D51" s="63" t="s">
        <v>17</v>
      </c>
      <c r="E51" s="199" t="s">
        <v>18</v>
      </c>
      <c r="F51" s="200"/>
      <c r="G51" s="39"/>
    </row>
    <row r="52" spans="1:7" s="44" customFormat="1" x14ac:dyDescent="0.3">
      <c r="A52" s="41" t="s">
        <v>61</v>
      </c>
      <c r="B52" s="42">
        <v>40</v>
      </c>
      <c r="C52" s="135" t="str">
        <f xml:space="preserve"> IF(B52="","",setValueToTime(B52))</f>
        <v>3h20min</v>
      </c>
      <c r="D52" s="148" t="s">
        <v>66</v>
      </c>
      <c r="E52" s="201"/>
      <c r="F52" s="202"/>
      <c r="G52" s="3"/>
    </row>
    <row r="53" spans="1:7" s="44" customFormat="1" x14ac:dyDescent="0.3">
      <c r="A53" s="45" t="s">
        <v>57</v>
      </c>
      <c r="B53" s="46">
        <v>10</v>
      </c>
      <c r="C53" s="136" t="str">
        <f t="shared" ref="C53:C59" si="4" xml:space="preserve"> IF(B53="","",setValueToTime(B53))</f>
        <v>0h50min</v>
      </c>
      <c r="D53" s="149" t="s">
        <v>67</v>
      </c>
      <c r="E53" s="193"/>
      <c r="F53" s="194"/>
      <c r="G53" s="3"/>
    </row>
    <row r="54" spans="1:7" s="44" customFormat="1" x14ac:dyDescent="0.3">
      <c r="A54" s="45" t="s">
        <v>57</v>
      </c>
      <c r="B54" s="46">
        <v>10</v>
      </c>
      <c r="C54" s="136" t="str">
        <f t="shared" si="4"/>
        <v>0h50min</v>
      </c>
      <c r="D54" s="149" t="s">
        <v>68</v>
      </c>
      <c r="E54" s="193"/>
      <c r="F54" s="194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5"/>
      <c r="F59" s="196"/>
      <c r="G59" s="3"/>
    </row>
    <row r="60" spans="1:7" s="44" customFormat="1" ht="15" thickBot="1" x14ac:dyDescent="0.35">
      <c r="A60" s="145" t="s">
        <v>33</v>
      </c>
      <c r="B60" s="68">
        <f>SUM(B52:B59)</f>
        <v>60</v>
      </c>
      <c r="C60" s="145" t="str">
        <f xml:space="preserve"> setValueToTime(B60)</f>
        <v>5h</v>
      </c>
      <c r="D60" s="105"/>
      <c r="E60" s="197"/>
      <c r="F60" s="19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16</v>
      </c>
      <c r="B62" s="147">
        <v>2</v>
      </c>
      <c r="C62" s="147"/>
      <c r="D62" s="140" t="s">
        <v>19</v>
      </c>
      <c r="E62" s="141">
        <v>45244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46</v>
      </c>
      <c r="C63" s="143"/>
      <c r="D63" s="63" t="s">
        <v>17</v>
      </c>
      <c r="E63" s="199" t="s">
        <v>18</v>
      </c>
      <c r="F63" s="200"/>
      <c r="G63" s="39"/>
    </row>
    <row r="64" spans="1:7" s="44" customFormat="1" x14ac:dyDescent="0.3">
      <c r="A64" s="41" t="s">
        <v>57</v>
      </c>
      <c r="B64" s="42">
        <v>3</v>
      </c>
      <c r="C64" s="135" t="str">
        <f xml:space="preserve"> IF(B64="","",setValueToTime(B64))</f>
        <v>0h15min</v>
      </c>
      <c r="D64" s="148" t="s">
        <v>58</v>
      </c>
      <c r="E64" s="201"/>
      <c r="F64" s="202"/>
      <c r="G64" s="3"/>
    </row>
    <row r="65" spans="1:7" s="44" customFormat="1" ht="27" x14ac:dyDescent="0.3">
      <c r="A65" s="45" t="s">
        <v>54</v>
      </c>
      <c r="B65" s="46">
        <v>6</v>
      </c>
      <c r="C65" s="136" t="str">
        <f t="shared" ref="C65:C71" si="5" xml:space="preserve"> IF(B65="","",setValueToTime(B65))</f>
        <v>0h30min</v>
      </c>
      <c r="D65" s="149" t="s">
        <v>59</v>
      </c>
      <c r="E65" s="204" t="s">
        <v>60</v>
      </c>
      <c r="F65" s="194"/>
      <c r="G65" s="3"/>
    </row>
    <row r="66" spans="1:7" s="44" customFormat="1" x14ac:dyDescent="0.3">
      <c r="A66" s="45" t="s">
        <v>61</v>
      </c>
      <c r="B66" s="46">
        <v>24</v>
      </c>
      <c r="C66" s="136" t="str">
        <f t="shared" si="5"/>
        <v>2h</v>
      </c>
      <c r="D66" s="149" t="s">
        <v>62</v>
      </c>
      <c r="E66" s="193"/>
      <c r="F66" s="194"/>
      <c r="G66" s="3"/>
    </row>
    <row r="67" spans="1:7" s="44" customFormat="1" x14ac:dyDescent="0.3">
      <c r="A67" s="158" t="s">
        <v>61</v>
      </c>
      <c r="B67" s="46">
        <v>27</v>
      </c>
      <c r="C67" s="136" t="str">
        <f t="shared" si="5"/>
        <v>2h15min</v>
      </c>
      <c r="D67" s="149" t="s">
        <v>65</v>
      </c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5"/>
      <c r="F71" s="196"/>
      <c r="G71" s="3"/>
    </row>
    <row r="72" spans="1:7" s="44" customFormat="1" ht="15" thickBot="1" x14ac:dyDescent="0.35">
      <c r="A72" s="145" t="s">
        <v>33</v>
      </c>
      <c r="B72" s="68">
        <f>SUM(B64:B71)</f>
        <v>60</v>
      </c>
      <c r="C72" s="145" t="str">
        <f xml:space="preserve"> setValueToTime(B72)</f>
        <v>5h</v>
      </c>
      <c r="D72" s="105"/>
      <c r="E72" s="197"/>
      <c r="F72" s="19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16</v>
      </c>
      <c r="B74" s="147">
        <v>1</v>
      </c>
      <c r="C74" s="147"/>
      <c r="D74" s="140" t="s">
        <v>19</v>
      </c>
      <c r="E74" s="141">
        <v>45237</v>
      </c>
      <c r="F74" s="142"/>
      <c r="G74" s="39"/>
    </row>
    <row r="75" spans="1:7" s="40" customFormat="1" ht="30" customHeight="1" thickBot="1" x14ac:dyDescent="0.3">
      <c r="A75" s="63" t="s">
        <v>5</v>
      </c>
      <c r="B75" s="144" t="s">
        <v>46</v>
      </c>
      <c r="C75" s="143"/>
      <c r="D75" s="63" t="s">
        <v>17</v>
      </c>
      <c r="E75" s="199" t="s">
        <v>18</v>
      </c>
      <c r="F75" s="200"/>
      <c r="G75" s="39"/>
    </row>
    <row r="76" spans="1:7" s="44" customFormat="1" x14ac:dyDescent="0.3">
      <c r="A76" s="41" t="s">
        <v>51</v>
      </c>
      <c r="B76" s="42">
        <v>4</v>
      </c>
      <c r="C76" s="135" t="str">
        <f xml:space="preserve"> IF(B76="","",setValueToTime(B76))</f>
        <v>0h20min</v>
      </c>
      <c r="D76" s="148" t="s">
        <v>52</v>
      </c>
      <c r="E76" s="201"/>
      <c r="F76" s="202"/>
      <c r="G76" s="3"/>
    </row>
    <row r="77" spans="1:7" s="44" customFormat="1" ht="29.25" customHeight="1" x14ac:dyDescent="0.3">
      <c r="A77" s="45" t="s">
        <v>50</v>
      </c>
      <c r="B77" s="46">
        <v>20</v>
      </c>
      <c r="C77" s="136" t="str">
        <f t="shared" ref="C77:C83" si="6" xml:space="preserve"> IF(B77="","",setValueToTime(B77))</f>
        <v>1h40min</v>
      </c>
      <c r="D77" s="149" t="s">
        <v>53</v>
      </c>
      <c r="E77" s="193"/>
      <c r="F77" s="194"/>
      <c r="G77" s="3"/>
    </row>
    <row r="78" spans="1:7" s="44" customFormat="1" x14ac:dyDescent="0.3">
      <c r="A78" s="45" t="s">
        <v>54</v>
      </c>
      <c r="B78" s="46">
        <v>36</v>
      </c>
      <c r="C78" s="136" t="str">
        <f t="shared" si="6"/>
        <v>3h</v>
      </c>
      <c r="D78" s="149" t="s">
        <v>55</v>
      </c>
      <c r="E78" s="203" t="s">
        <v>56</v>
      </c>
      <c r="F78" s="194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3"/>
      <c r="F79" s="194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3"/>
      <c r="F80" s="194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3"/>
      <c r="F81" s="194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3"/>
      <c r="F82" s="194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5"/>
      <c r="F83" s="196"/>
      <c r="G83" s="3"/>
    </row>
    <row r="84" spans="1:7" s="44" customFormat="1" ht="15" thickBot="1" x14ac:dyDescent="0.35">
      <c r="A84" s="145" t="s">
        <v>33</v>
      </c>
      <c r="B84" s="68">
        <f>SUM(B76:B83)</f>
        <v>60</v>
      </c>
      <c r="C84" s="145" t="str">
        <f xml:space="preserve"> setValueToTime(B84)</f>
        <v>5h</v>
      </c>
      <c r="D84" s="105"/>
      <c r="E84" s="197"/>
      <c r="F84" s="198"/>
      <c r="G84" s="3"/>
    </row>
    <row r="85" spans="1:7" s="44" customFormat="1" x14ac:dyDescent="0.3">
      <c r="A85" s="62"/>
      <c r="B85" s="62"/>
      <c r="C85" s="62"/>
      <c r="D85" s="62"/>
      <c r="E85" s="62"/>
      <c r="F85" s="62"/>
      <c r="G85" s="3"/>
    </row>
  </sheetData>
  <sheetProtection formatRows="0" insertRows="0" insertHyperlinks="0" deleteRows="0" selectLockedCells="1"/>
  <mergeCells count="70"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hyperlinks>
    <hyperlink ref="E7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75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5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75"/>
    </row>
    <row r="13" spans="1:61" ht="18.75" thickBot="1" x14ac:dyDescent="0.3">
      <c r="A13" s="180" t="s">
        <v>16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2"/>
      <c r="BI13" s="75"/>
    </row>
    <row r="14" spans="1:61" ht="15.75" thickBot="1" x14ac:dyDescent="0.35">
      <c r="A14" s="87"/>
      <c r="B14" s="88"/>
      <c r="C14" s="88"/>
      <c r="D14" s="88"/>
      <c r="E14" s="183" t="s">
        <v>40</v>
      </c>
      <c r="F14" s="183"/>
      <c r="G14" s="183"/>
      <c r="H14" s="183"/>
      <c r="I14" s="88"/>
      <c r="J14" s="88"/>
      <c r="K14" s="184" t="s">
        <v>28</v>
      </c>
      <c r="L14" s="184"/>
      <c r="M14" s="184"/>
      <c r="N14" s="184"/>
      <c r="O14" s="112"/>
      <c r="P14" s="112"/>
      <c r="Q14" s="183" t="s">
        <v>41</v>
      </c>
      <c r="R14" s="183"/>
      <c r="S14" s="183"/>
      <c r="T14" s="183"/>
      <c r="U14" s="88"/>
      <c r="V14" s="88"/>
      <c r="W14" s="184" t="s">
        <v>29</v>
      </c>
      <c r="X14" s="184"/>
      <c r="Y14" s="184"/>
      <c r="Z14" s="184"/>
      <c r="AA14" s="112"/>
      <c r="AB14" s="112"/>
      <c r="AC14" s="183" t="s">
        <v>42</v>
      </c>
      <c r="AD14" s="183"/>
      <c r="AE14" s="183"/>
      <c r="AF14" s="183"/>
      <c r="AG14" s="88"/>
      <c r="AH14" s="88"/>
      <c r="AI14" s="184" t="s">
        <v>30</v>
      </c>
      <c r="AJ14" s="184"/>
      <c r="AK14" s="184"/>
      <c r="AL14" s="184"/>
      <c r="AM14" s="112"/>
      <c r="AN14" s="112"/>
      <c r="AO14" s="183" t="s">
        <v>43</v>
      </c>
      <c r="AP14" s="183"/>
      <c r="AQ14" s="183"/>
      <c r="AR14" s="183"/>
      <c r="AS14" s="88"/>
      <c r="AT14" s="88"/>
      <c r="AU14" s="184" t="s">
        <v>31</v>
      </c>
      <c r="AV14" s="184"/>
      <c r="AW14" s="184"/>
      <c r="AX14" s="184"/>
      <c r="AY14" s="112"/>
      <c r="AZ14" s="112"/>
      <c r="BA14" s="183" t="s">
        <v>44</v>
      </c>
      <c r="BB14" s="183"/>
      <c r="BC14" s="183"/>
      <c r="BD14" s="18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205" t="s">
        <v>18</v>
      </c>
      <c r="F2" s="20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207"/>
      <c r="F11" s="208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99" t="s">
        <v>18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7"/>
      <c r="F11" s="19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2024-01-09T12:27:01Z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