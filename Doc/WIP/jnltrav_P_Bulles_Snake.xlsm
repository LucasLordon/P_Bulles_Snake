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luclordon\Documents\GitHub\P_Bulles_Snake\Doc\WIP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6" i="12"/>
  <c r="C24" i="12"/>
  <c r="C17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6"/>
  <c r="C11" i="15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<sst xmlns="http://schemas.openxmlformats.org/spreadsheetml/2006/main" count="204" uniqueCount="66">
  <si>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</si>
  <si>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</si>
  <si>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</si>
  <si>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</si>
  <si>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</si>
  <si>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</si>
  <si>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</si>
  <si>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</si>
  <si>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</si>
  <si>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</si>
  <si>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</si>
  <si>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</si>
  <si>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</si>
  <si>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</si>
  <si>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</si>
  <si>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</si>
  <si>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</si>
  <si>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</si>
  <si>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</si>
  <si>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</si>
  <si>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</si>
  <si>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</si>
  <si>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</si>
  <si>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</si>
  <si>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</si>
  <si>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</si>
  <si>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</si>
  <si>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</si>
  <si>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</si>
  <si>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</si>
  <si>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</si>
  <si>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</si>
  <si>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</si>
  <si>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</si>
  <si>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</si>
  <si>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</si>
  <si>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</si>
  <si>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</si>
  <si>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</si>
  <si>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</si>
  <si>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</si>
  <si>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</si>
  <si>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</si>
  <si>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</si>
  <si>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</si>
  <si>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</si>
  <si>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</si>
  <si>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</si>
  <si>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</si>
  <si>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</si>
  <si>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Mise en place du projet</t>
  </si>
  <si>
    <t>Explication</t>
  </si>
  <si>
    <t>Introduction du projet par Aurélie Curchod</t>
  </si>
  <si>
    <t>Afin d'avoir un bon projet, j'ai mis en place/crée : le repo GitHub,l'Aide-mémoire JavaScript,le journal de travail et le rapport. De plus je me suis inscrit au projet dans la market place.</t>
  </si>
  <si>
    <t>Apprendre</t>
  </si>
  <si>
    <t>Avancer dans la doc de JavaScriptInfo</t>
  </si>
  <si>
    <t>https://fr.javascript.info/</t>
  </si>
  <si>
    <t>Reflection logique</t>
  </si>
  <si>
    <t>J'ai commencer à réfléchir par papier, afin de commencer le projet.</t>
  </si>
  <si>
    <t xml:space="preserve">J'ai fais des recherche sur les tableau en java script car j'ai encore de la peine à comprendre les tableau non typés. </t>
  </si>
  <si>
    <t>Site utiles dans mes recherches : https://developer.mozilla.org/fr/</t>
  </si>
  <si>
    <t>Code</t>
  </si>
  <si>
    <t>J'ai commencer le code</t>
  </si>
  <si>
    <t>7h45min</t>
  </si>
  <si>
    <t>+ 7h45min</t>
  </si>
  <si>
    <t>J'ai fini de coder les déplacement du serpent (: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</si>
</sst>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" fillId="0" borderId="33" xfId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79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 applyProtection="1"/>
    <xf numFmtId="0" fontId="2" fillId="17" borderId="29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0" fillId="0" borderId="33" xfId="0" applyFont="1" applyFill="1" applyBorder="1" applyAlignment="1" applyProtection="1">
      <alignment horizontal="center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1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Mise en place du projet</c:v>
              </c:pt>
              <c:pt idx="6">
                <c:v>Explication</c:v>
              </c:pt>
              <c:pt idx="7">
                <c:v>Apprendre</c:v>
              </c:pt>
              <c:pt idx="8">
                <c:v>Reflection logique</c:v>
              </c:pt>
              <c:pt idx="9">
                <c:v>Code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1.6699999570846558</c:v>
              </c:pt>
              <c:pt idx="6">
                <c:v>0.33000001311302185</c:v>
              </c:pt>
              <c:pt idx="7">
                <c:v>3.5</c:v>
              </c:pt>
              <c:pt idx="8">
                <c:v>0.25</c:v>
              </c:pt>
              <c:pt idx="9">
                <c:v>2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D42" sqref="D42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7" t="s">
        <v>38</v>
      </c>
      <c r="C35" s="167"/>
      <c r="D35" s="167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8" t="s">
        <v>39</v>
      </c>
      <c r="C37" s="168"/>
      <c r="D37" s="168"/>
      <c r="E37" s="109" t="s">
        <v>63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224" t="s">
        <v>64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55" zoomScale="70" zoomScaleNormal="70" zoomScaleSheetLayoutView="43" workbookViewId="0">
      <selection activeCell="E95" sqref="E9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9" t="s">
        <v>35</v>
      </c>
      <c r="D1" s="169"/>
      <c r="E1" s="16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0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1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1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2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0"/>
      <c r="D7" s="170"/>
      <c r="E7" s="17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0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1"/>
      <c r="E9" s="13" t="s">
        <v>26</v>
      </c>
      <c r="F9" s="14"/>
      <c r="G9" s="174" t="str">
        <f>E96</f>
        <v>0h</v>
      </c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74" t="str">
        <f>E98</f>
        <v>7h45min</v>
      </c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5"/>
      <c r="BO10" s="185"/>
      <c r="BP10" s="185"/>
      <c r="BQ10" s="185"/>
      <c r="BR10" s="185"/>
      <c r="BS10" s="185"/>
      <c r="BT10" s="185"/>
      <c r="BU10" s="185"/>
      <c r="BV10" s="185"/>
      <c r="BW10" s="185"/>
      <c r="BX10" s="185"/>
      <c r="BY10" s="185"/>
      <c r="BZ10" s="185"/>
      <c r="CA10" s="185"/>
      <c r="CB10" s="185"/>
      <c r="CC10" s="185"/>
      <c r="CD10" s="185"/>
      <c r="CE10" s="185"/>
      <c r="CF10" s="185"/>
      <c r="CG10" s="185"/>
      <c r="CH10" s="185"/>
      <c r="CI10" s="185"/>
      <c r="CJ10" s="185"/>
      <c r="CK10" s="185"/>
      <c r="CL10" s="185"/>
      <c r="CM10" s="185"/>
      <c r="CN10" s="185"/>
      <c r="CO10" s="185"/>
      <c r="CP10" s="185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90"/>
    </row>
    <row r="11" spans="1:186" ht="20.100000000000001" customHeight="1" x14ac:dyDescent="0.25">
      <c r="B11" s="96"/>
      <c r="C11" s="179"/>
      <c r="D11" s="179"/>
      <c r="E11" s="179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6" t="s">
        <v>48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90"/>
    </row>
    <row r="12" spans="1:186" ht="15.75" customHeight="1" thickBot="1" x14ac:dyDescent="0.3">
      <c r="B12" s="97"/>
      <c r="C12" s="180"/>
      <c r="D12" s="180"/>
      <c r="E12" s="180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7" t="s">
        <v>49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90"/>
    </row>
    <row r="13" spans="1:186" ht="42.75" customHeight="1" thickBot="1" x14ac:dyDescent="0.3">
      <c r="B13" s="96"/>
      <c r="C13" s="175" t="s">
        <v>7</v>
      </c>
      <c r="D13" s="144"/>
      <c r="E13" s="177" t="s">
        <v>45</v>
      </c>
      <c r="F13" s="188" t="s">
        <v>8</v>
      </c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90"/>
      <c r="BN13" s="188" t="s">
        <v>32</v>
      </c>
      <c r="BO13" s="189"/>
      <c r="BP13" s="189"/>
      <c r="BQ13" s="189"/>
      <c r="BR13" s="189"/>
      <c r="BS13" s="189"/>
      <c r="BT13" s="189"/>
      <c r="BU13" s="189"/>
      <c r="BV13" s="189"/>
      <c r="BW13" s="189"/>
      <c r="BX13" s="189"/>
      <c r="BY13" s="189"/>
      <c r="BZ13" s="189"/>
      <c r="CA13" s="189"/>
      <c r="CB13" s="189"/>
      <c r="CC13" s="189"/>
      <c r="CD13" s="189"/>
      <c r="CE13" s="189"/>
      <c r="CF13" s="189"/>
      <c r="CG13" s="189"/>
      <c r="CH13" s="189"/>
      <c r="CI13" s="189"/>
      <c r="CJ13" s="189"/>
      <c r="CK13" s="189"/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90"/>
      <c r="DV13" s="188" t="s">
        <v>23</v>
      </c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90"/>
      <c r="GD13" s="90"/>
    </row>
    <row r="14" spans="1:186" ht="12.75" customHeight="1" thickBot="1" x14ac:dyDescent="0.35">
      <c r="B14" s="96"/>
      <c r="C14" s="176"/>
      <c r="D14" s="145"/>
      <c r="E14" s="178"/>
      <c r="F14" s="103"/>
      <c r="G14" s="104"/>
      <c r="H14" s="104"/>
      <c r="I14" s="104"/>
      <c r="J14" s="191" t="s">
        <v>40</v>
      </c>
      <c r="K14" s="191"/>
      <c r="L14" s="191"/>
      <c r="M14" s="191"/>
      <c r="N14" s="104"/>
      <c r="O14" s="104"/>
      <c r="P14" s="192" t="s">
        <v>28</v>
      </c>
      <c r="Q14" s="192"/>
      <c r="R14" s="192"/>
      <c r="S14" s="192"/>
      <c r="T14" s="129"/>
      <c r="U14" s="129"/>
      <c r="V14" s="191" t="s">
        <v>41</v>
      </c>
      <c r="W14" s="191"/>
      <c r="X14" s="191"/>
      <c r="Y14" s="191"/>
      <c r="Z14" s="104"/>
      <c r="AA14" s="104"/>
      <c r="AB14" s="192" t="s">
        <v>29</v>
      </c>
      <c r="AC14" s="192"/>
      <c r="AD14" s="192"/>
      <c r="AE14" s="192"/>
      <c r="AF14" s="129"/>
      <c r="AG14" s="129"/>
      <c r="AH14" s="191" t="s">
        <v>42</v>
      </c>
      <c r="AI14" s="191"/>
      <c r="AJ14" s="191"/>
      <c r="AK14" s="191"/>
      <c r="AL14" s="104"/>
      <c r="AM14" s="104"/>
      <c r="AN14" s="192" t="s">
        <v>30</v>
      </c>
      <c r="AO14" s="192"/>
      <c r="AP14" s="192"/>
      <c r="AQ14" s="192"/>
      <c r="AR14" s="129"/>
      <c r="AS14" s="129"/>
      <c r="AT14" s="191" t="s">
        <v>43</v>
      </c>
      <c r="AU14" s="191"/>
      <c r="AV14" s="191"/>
      <c r="AW14" s="191"/>
      <c r="AX14" s="104"/>
      <c r="AY14" s="104"/>
      <c r="AZ14" s="192" t="s">
        <v>31</v>
      </c>
      <c r="BA14" s="192"/>
      <c r="BB14" s="192"/>
      <c r="BC14" s="192"/>
      <c r="BD14" s="129"/>
      <c r="BE14" s="129"/>
      <c r="BF14" s="191" t="s">
        <v>44</v>
      </c>
      <c r="BG14" s="191"/>
      <c r="BH14" s="191"/>
      <c r="BI14" s="191"/>
      <c r="BJ14" s="104"/>
      <c r="BK14" s="104"/>
      <c r="BL14" s="104"/>
      <c r="BM14" s="105"/>
      <c r="BN14" s="103"/>
      <c r="BO14" s="104"/>
      <c r="BP14" s="104"/>
      <c r="BQ14" s="104"/>
      <c r="BR14" s="191" t="s">
        <v>40</v>
      </c>
      <c r="BS14" s="191"/>
      <c r="BT14" s="191"/>
      <c r="BU14" s="191"/>
      <c r="BV14" s="104"/>
      <c r="BW14" s="104"/>
      <c r="BX14" s="192" t="s">
        <v>28</v>
      </c>
      <c r="BY14" s="192"/>
      <c r="BZ14" s="192"/>
      <c r="CA14" s="192"/>
      <c r="CB14" s="129"/>
      <c r="CC14" s="129"/>
      <c r="CD14" s="191" t="s">
        <v>41</v>
      </c>
      <c r="CE14" s="191"/>
      <c r="CF14" s="191"/>
      <c r="CG14" s="191"/>
      <c r="CH14" s="104"/>
      <c r="CI14" s="104"/>
      <c r="CJ14" s="192" t="s">
        <v>29</v>
      </c>
      <c r="CK14" s="192"/>
      <c r="CL14" s="192"/>
      <c r="CM14" s="192"/>
      <c r="CN14" s="129"/>
      <c r="CO14" s="129"/>
      <c r="CP14" s="191" t="s">
        <v>42</v>
      </c>
      <c r="CQ14" s="191"/>
      <c r="CR14" s="191"/>
      <c r="CS14" s="191"/>
      <c r="CT14" s="104"/>
      <c r="CU14" s="104"/>
      <c r="CV14" s="192" t="s">
        <v>30</v>
      </c>
      <c r="CW14" s="192"/>
      <c r="CX14" s="192"/>
      <c r="CY14" s="192"/>
      <c r="CZ14" s="129"/>
      <c r="DA14" s="129"/>
      <c r="DB14" s="191" t="s">
        <v>43</v>
      </c>
      <c r="DC14" s="191"/>
      <c r="DD14" s="191"/>
      <c r="DE14" s="191"/>
      <c r="DF14" s="104"/>
      <c r="DG14" s="104"/>
      <c r="DH14" s="192" t="s">
        <v>31</v>
      </c>
      <c r="DI14" s="192"/>
      <c r="DJ14" s="192"/>
      <c r="DK14" s="192"/>
      <c r="DL14" s="129"/>
      <c r="DM14" s="129"/>
      <c r="DN14" s="191" t="s">
        <v>44</v>
      </c>
      <c r="DO14" s="191"/>
      <c r="DP14" s="191"/>
      <c r="DQ14" s="191"/>
      <c r="DR14" s="104"/>
      <c r="DS14" s="104"/>
      <c r="DT14" s="104"/>
      <c r="DU14" s="105"/>
      <c r="DV14" s="103"/>
      <c r="DW14" s="104"/>
      <c r="DX14" s="104"/>
      <c r="DY14" s="104"/>
      <c r="DZ14" s="191" t="s">
        <v>40</v>
      </c>
      <c r="EA14" s="191"/>
      <c r="EB14" s="191"/>
      <c r="EC14" s="191"/>
      <c r="ED14" s="104"/>
      <c r="EE14" s="104"/>
      <c r="EF14" s="192" t="s">
        <v>28</v>
      </c>
      <c r="EG14" s="192"/>
      <c r="EH14" s="192"/>
      <c r="EI14" s="192"/>
      <c r="EJ14" s="129"/>
      <c r="EK14" s="129"/>
      <c r="EL14" s="191" t="s">
        <v>41</v>
      </c>
      <c r="EM14" s="191"/>
      <c r="EN14" s="191"/>
      <c r="EO14" s="191"/>
      <c r="EP14" s="104"/>
      <c r="EQ14" s="104"/>
      <c r="ER14" s="192" t="s">
        <v>29</v>
      </c>
      <c r="ES14" s="192"/>
      <c r="ET14" s="192"/>
      <c r="EU14" s="192"/>
      <c r="EV14" s="129"/>
      <c r="EW14" s="129"/>
      <c r="EX14" s="191" t="s">
        <v>42</v>
      </c>
      <c r="EY14" s="191"/>
      <c r="EZ14" s="191"/>
      <c r="FA14" s="191"/>
      <c r="FB14" s="104"/>
      <c r="FC14" s="104"/>
      <c r="FD14" s="192" t="s">
        <v>30</v>
      </c>
      <c r="FE14" s="192"/>
      <c r="FF14" s="192"/>
      <c r="FG14" s="192"/>
      <c r="FH14" s="129"/>
      <c r="FI14" s="129"/>
      <c r="FJ14" s="191" t="s">
        <v>43</v>
      </c>
      <c r="FK14" s="191"/>
      <c r="FL14" s="191"/>
      <c r="FM14" s="191"/>
      <c r="FN14" s="104"/>
      <c r="FO14" s="104"/>
      <c r="FP14" s="192" t="s">
        <v>31</v>
      </c>
      <c r="FQ14" s="192"/>
      <c r="FR14" s="192"/>
      <c r="FS14" s="192"/>
      <c r="FT14" s="129"/>
      <c r="FU14" s="129"/>
      <c r="FV14" s="191" t="s">
        <v>44</v>
      </c>
      <c r="FW14" s="191"/>
      <c r="FX14" s="191"/>
      <c r="FY14" s="191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1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2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1" t="s">
        <v>36</v>
      </c>
      <c r="D17" s="146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2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1" t="s">
        <v>37</v>
      </c>
      <c r="D19" s="146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Mise en place du projet</v>
      </c>
      <c r="C20" s="173"/>
      <c r="D20" s="147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Explication</v>
      </c>
      <c r="C21" s="171" t="s">
        <v>21</v>
      </c>
      <c r="D21" s="146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>Apprendre</v>
      </c>
      <c r="C22" s="173"/>
      <c r="D22" s="147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Reflection logique</v>
      </c>
      <c r="C23" s="171" t="s">
        <v>20</v>
      </c>
      <c r="D23" s="146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>Code</v>
      </c>
      <c r="C24" s="173"/>
      <c r="D24" s="147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1" t="s">
        <v>50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2"/>
      <c r="D26" s="148" t="str">
        <f t="shared" si="0"/>
        <v>1h40min</v>
      </c>
      <c r="E26" s="35">
        <v>20</v>
      </c>
      <c r="F26" s="36"/>
      <c r="G26" s="65"/>
      <c r="H26" s="65"/>
      <c r="I26" s="65"/>
      <c r="J26" s="218"/>
      <c r="K26" s="219"/>
      <c r="L26" s="218"/>
      <c r="M26" s="218"/>
      <c r="N26" s="218"/>
      <c r="O26" s="218"/>
      <c r="P26" s="218"/>
      <c r="Q26" s="220"/>
      <c r="R26" s="218"/>
      <c r="S26" s="218"/>
      <c r="T26" s="218"/>
      <c r="U26" s="218"/>
      <c r="V26" s="218"/>
      <c r="W26" s="221"/>
      <c r="X26" s="218"/>
      <c r="Y26" s="218"/>
      <c r="Z26" s="218"/>
      <c r="AA26" s="218"/>
      <c r="AB26" s="218"/>
      <c r="AC26" s="220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1" t="s">
        <v>51</v>
      </c>
      <c r="D27" s="146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2"/>
      <c r="D28" s="148" t="str">
        <f t="shared" si="0"/>
        <v>0h20min</v>
      </c>
      <c r="E28" s="27">
        <v>4</v>
      </c>
      <c r="F28" s="216"/>
      <c r="G28" s="217"/>
      <c r="H28" s="217"/>
      <c r="I28" s="21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1" t="s">
        <v>54</v>
      </c>
      <c r="D29" s="146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2"/>
      <c r="D30" s="148" t="str">
        <f t="shared" si="0"/>
        <v>3h30min</v>
      </c>
      <c r="E30" s="35">
        <v>42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218"/>
      <c r="AE30" s="218"/>
      <c r="AF30" s="218"/>
      <c r="AG30" s="218"/>
      <c r="AH30" s="218"/>
      <c r="AI30" s="221"/>
      <c r="AJ30" s="222"/>
      <c r="AK30" s="222"/>
      <c r="AL30" s="222"/>
      <c r="AM30" s="222"/>
      <c r="AN30" s="218"/>
      <c r="AO30" s="220"/>
      <c r="AP30" s="218"/>
      <c r="AQ30" s="218"/>
      <c r="AR30" s="218"/>
      <c r="AS30" s="218"/>
      <c r="AT30" s="218"/>
      <c r="AU30" s="221"/>
      <c r="AV30" s="218"/>
      <c r="AW30" s="218"/>
      <c r="AX30" s="218"/>
      <c r="AY30" s="218"/>
      <c r="AZ30" s="218"/>
      <c r="BA30" s="220"/>
      <c r="BB30" s="218"/>
      <c r="BC30" s="218"/>
      <c r="BD30" s="218"/>
      <c r="BE30" s="218"/>
      <c r="BF30" s="218"/>
      <c r="BG30" s="221"/>
      <c r="BH30" s="218"/>
      <c r="BI30" s="218"/>
      <c r="BJ30" s="218"/>
      <c r="BK30" s="218"/>
      <c r="BL30" s="218"/>
      <c r="BM30" s="223"/>
      <c r="BN30" s="36"/>
      <c r="BO30" s="65"/>
      <c r="BP30" s="65"/>
      <c r="BQ30" s="222"/>
      <c r="BR30" s="218"/>
      <c r="BS30" s="219"/>
      <c r="BT30" s="218"/>
      <c r="BU30" s="218"/>
      <c r="BV30" s="218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1" t="s">
        <v>57</v>
      </c>
      <c r="D31" s="146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2"/>
      <c r="D32" s="148" t="str">
        <f t="shared" si="0"/>
        <v>0h15min</v>
      </c>
      <c r="E32" s="27">
        <v>3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16"/>
      <c r="BO32" s="217"/>
      <c r="BP32" s="21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1" t="s">
        <v>61</v>
      </c>
      <c r="D33" s="146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2"/>
      <c r="D34" s="148" t="str">
        <f t="shared" si="0"/>
        <v>2h</v>
      </c>
      <c r="E34" s="35">
        <v>24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218"/>
      <c r="BX34" s="218"/>
      <c r="BY34" s="220"/>
      <c r="BZ34" s="218"/>
      <c r="CA34" s="218"/>
      <c r="CB34" s="218"/>
      <c r="CC34" s="218"/>
      <c r="CD34" s="218"/>
      <c r="CE34" s="221"/>
      <c r="CF34" s="218"/>
      <c r="CG34" s="218"/>
      <c r="CH34" s="218"/>
      <c r="CI34" s="218"/>
      <c r="CJ34" s="218"/>
      <c r="CK34" s="220"/>
      <c r="CL34" s="218"/>
      <c r="CM34" s="218"/>
      <c r="CN34" s="218"/>
      <c r="CO34" s="218"/>
      <c r="CP34" s="218"/>
      <c r="CQ34" s="221"/>
      <c r="CR34" s="222"/>
      <c r="CS34" s="222"/>
      <c r="CT34" s="222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1"/>
      <c r="D35" s="146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3"/>
      <c r="D36" s="147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1"/>
      <c r="D37" s="146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2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1"/>
      <c r="D39" s="146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3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1"/>
      <c r="D41" s="146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2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1"/>
      <c r="D43" s="146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2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1"/>
      <c r="D45" s="146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3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1"/>
      <c r="D47" s="146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2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1"/>
      <c r="D49" s="146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2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1"/>
      <c r="D51" s="146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3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1"/>
      <c r="D53" s="146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2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1"/>
      <c r="D55" s="146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3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1"/>
      <c r="D57" s="146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2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1"/>
      <c r="D59" s="146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2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1"/>
      <c r="D61" s="146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3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1"/>
      <c r="D63" s="146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2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1"/>
      <c r="D65" s="146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2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1"/>
      <c r="D67" s="146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3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1"/>
      <c r="D69" s="146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2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1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3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1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2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1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2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1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3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1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2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1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2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1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3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1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2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1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3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1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2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1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2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1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3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7" t="s">
        <v>9</v>
      </c>
      <c r="D95" s="198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9"/>
      <c r="D96" s="200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3" t="s">
        <v>10</v>
      </c>
      <c r="D97" s="194"/>
      <c r="E97" s="118">
        <f>SUM(E16,E18,E20,E22,E24,E26,E28,E30,E32,E34,E36,E38,E40,E42,E44,E46,E48,E50,E52,E54,E56,E58,E60,E62,E64,E66,E68,E70,E72,E74,E76,E78,E80,E82,E84,E86,E88,E90,E92,E94)</f>
        <v>93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5"/>
      <c r="D98" s="196"/>
      <c r="E98" s="122" t="str">
        <f xml:space="preserve"> setValueToTime(E97)</f>
        <v>7h45min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D15" sqref="D15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8.8554687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16</v>
      </c>
      <c r="B2" s="164">
        <v>2</v>
      </c>
      <c r="C2" s="164"/>
      <c r="D2" s="157" t="s">
        <v>19</v>
      </c>
      <c r="E2" s="158">
        <v>45244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46</v>
      </c>
      <c r="C3" s="160"/>
      <c r="D3" s="78" t="s">
        <v>17</v>
      </c>
      <c r="E3" s="207" t="s">
        <v>18</v>
      </c>
      <c r="F3" s="208"/>
      <c r="G3" s="46"/>
    </row>
    <row r="4" spans="1:7" s="52" customFormat="1" x14ac:dyDescent="0.3">
      <c r="A4" s="48" t="s">
        <v>57</v>
      </c>
      <c r="B4" s="49">
        <v>3</v>
      </c>
      <c r="C4" s="152" t="str">
        <f xml:space="preserve"> IF(B4="","",setValueToTime(B4))</f>
        <v>0h15min</v>
      </c>
      <c r="D4" s="165" t="s">
        <v>58</v>
      </c>
      <c r="E4" s="209"/>
      <c r="F4" s="210"/>
      <c r="G4" s="51"/>
    </row>
    <row r="5" spans="1:7" s="52" customFormat="1" ht="27" x14ac:dyDescent="0.3">
      <c r="A5" s="53" t="s">
        <v>54</v>
      </c>
      <c r="B5" s="54">
        <v>6</v>
      </c>
      <c r="C5" s="153" t="str">
        <f t="shared" ref="C5:C11" si="0" xml:space="preserve"> IF(B5="","",setValueToTime(B5))</f>
        <v>0h30min</v>
      </c>
      <c r="D5" s="166" t="s">
        <v>59</v>
      </c>
      <c r="E5" s="225" t="s">
        <v>60</v>
      </c>
      <c r="F5" s="202"/>
      <c r="G5" s="51"/>
    </row>
    <row r="6" spans="1:7" s="52" customFormat="1" x14ac:dyDescent="0.3">
      <c r="A6" s="53" t="s">
        <v>61</v>
      </c>
      <c r="B6" s="54">
        <v>24</v>
      </c>
      <c r="C6" s="153" t="str">
        <f t="shared" si="0"/>
        <v>2h</v>
      </c>
      <c r="D6" s="166" t="s">
        <v>62</v>
      </c>
      <c r="E6" s="201"/>
      <c r="F6" s="202"/>
      <c r="G6" s="51"/>
    </row>
    <row r="7" spans="1:7" s="52" customFormat="1" x14ac:dyDescent="0.3">
      <c r="A7" s="226" t="s">
        <v>61</v>
      </c>
      <c r="B7" s="54">
        <v>27</v>
      </c>
      <c r="C7" s="153" t="str">
        <f t="shared" si="0"/>
        <v>2h15min</v>
      </c>
      <c r="D7" s="166" t="s">
        <v>65</v>
      </c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2" t="s">
        <v>33</v>
      </c>
      <c r="B12" s="83">
        <f>SUM(B4:B11)</f>
        <v>60</v>
      </c>
      <c r="C12" s="162" t="str">
        <f xml:space="preserve"> setValueToTime(B12)</f>
        <v>5h</v>
      </c>
      <c r="D12" s="121"/>
      <c r="E12" s="205"/>
      <c r="F12" s="20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16</v>
      </c>
      <c r="B14" s="164">
        <v>1</v>
      </c>
      <c r="C14" s="164"/>
      <c r="D14" s="157" t="s">
        <v>19</v>
      </c>
      <c r="E14" s="158">
        <v>45237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46</v>
      </c>
      <c r="C15" s="160"/>
      <c r="D15" s="78" t="s">
        <v>17</v>
      </c>
      <c r="E15" s="207" t="s">
        <v>18</v>
      </c>
      <c r="F15" s="208"/>
      <c r="G15" s="46"/>
    </row>
    <row r="16" spans="1:7" s="52" customFormat="1" x14ac:dyDescent="0.3">
      <c r="A16" s="48" t="s">
        <v>51</v>
      </c>
      <c r="B16" s="49">
        <v>4</v>
      </c>
      <c r="C16" s="152" t="str">
        <f xml:space="preserve"> IF(B16="","",setValueToTime(B16))</f>
        <v>0h20min</v>
      </c>
      <c r="D16" s="165" t="s">
        <v>52</v>
      </c>
      <c r="E16" s="209"/>
      <c r="F16" s="210"/>
      <c r="G16" s="51"/>
    </row>
    <row r="17" spans="1:7" s="52" customFormat="1" ht="29.25" customHeight="1" x14ac:dyDescent="0.3">
      <c r="A17" s="53" t="s">
        <v>50</v>
      </c>
      <c r="B17" s="54">
        <v>20</v>
      </c>
      <c r="C17" s="153" t="str">
        <f t="shared" ref="C17:C23" si="1" xml:space="preserve"> IF(B17="","",setValueToTime(B17))</f>
        <v>1h40min</v>
      </c>
      <c r="D17" s="166" t="s">
        <v>53</v>
      </c>
      <c r="E17" s="201"/>
      <c r="F17" s="202"/>
      <c r="G17" s="51"/>
    </row>
    <row r="18" spans="1:7" s="52" customFormat="1" x14ac:dyDescent="0.3">
      <c r="A18" s="53" t="s">
        <v>54</v>
      </c>
      <c r="B18" s="54">
        <v>36</v>
      </c>
      <c r="C18" s="153" t="str">
        <f t="shared" si="1"/>
        <v>3h</v>
      </c>
      <c r="D18" s="166" t="s">
        <v>55</v>
      </c>
      <c r="E18" s="211" t="s">
        <v>56</v>
      </c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62" t="s">
        <v>33</v>
      </c>
      <c r="B24" s="83">
        <f>SUM(B16:B23)</f>
        <v>60</v>
      </c>
      <c r="C24" s="162" t="str">
        <f xml:space="preserve"> setValueToTime(B24)</f>
        <v>5h</v>
      </c>
      <c r="D24" s="121"/>
      <c r="E24" s="205"/>
      <c r="F24" s="206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8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8" t="s">
        <v>16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90"/>
      <c r="BI13" s="90"/>
    </row>
    <row r="14" spans="1:61" ht="15.75" thickBot="1" x14ac:dyDescent="0.35">
      <c r="A14" s="103"/>
      <c r="B14" s="104"/>
      <c r="C14" s="104"/>
      <c r="D14" s="104"/>
      <c r="E14" s="191" t="s">
        <v>40</v>
      </c>
      <c r="F14" s="191"/>
      <c r="G14" s="191"/>
      <c r="H14" s="191"/>
      <c r="I14" s="104"/>
      <c r="J14" s="104"/>
      <c r="K14" s="192" t="s">
        <v>28</v>
      </c>
      <c r="L14" s="192"/>
      <c r="M14" s="192"/>
      <c r="N14" s="192"/>
      <c r="O14" s="129"/>
      <c r="P14" s="129"/>
      <c r="Q14" s="191" t="s">
        <v>41</v>
      </c>
      <c r="R14" s="191"/>
      <c r="S14" s="191"/>
      <c r="T14" s="191"/>
      <c r="U14" s="104"/>
      <c r="V14" s="104"/>
      <c r="W14" s="192" t="s">
        <v>29</v>
      </c>
      <c r="X14" s="192"/>
      <c r="Y14" s="192"/>
      <c r="Z14" s="192"/>
      <c r="AA14" s="129"/>
      <c r="AB14" s="129"/>
      <c r="AC14" s="191" t="s">
        <v>42</v>
      </c>
      <c r="AD14" s="191"/>
      <c r="AE14" s="191"/>
      <c r="AF14" s="191"/>
      <c r="AG14" s="104"/>
      <c r="AH14" s="104"/>
      <c r="AI14" s="192" t="s">
        <v>30</v>
      </c>
      <c r="AJ14" s="192"/>
      <c r="AK14" s="192"/>
      <c r="AL14" s="192"/>
      <c r="AM14" s="129"/>
      <c r="AN14" s="129"/>
      <c r="AO14" s="191" t="s">
        <v>43</v>
      </c>
      <c r="AP14" s="191"/>
      <c r="AQ14" s="191"/>
      <c r="AR14" s="191"/>
      <c r="AS14" s="104"/>
      <c r="AT14" s="104"/>
      <c r="AU14" s="192" t="s">
        <v>31</v>
      </c>
      <c r="AV14" s="192"/>
      <c r="AW14" s="192"/>
      <c r="AX14" s="192"/>
      <c r="AY14" s="129"/>
      <c r="AZ14" s="129"/>
      <c r="BA14" s="191" t="s">
        <v>44</v>
      </c>
      <c r="BB14" s="191"/>
      <c r="BC14" s="191"/>
      <c r="BD14" s="19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3">
        <v>1</v>
      </c>
      <c r="C1" s="163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46</v>
      </c>
      <c r="C2" s="151"/>
      <c r="D2" s="80" t="s">
        <v>17</v>
      </c>
      <c r="E2" s="212" t="s">
        <v>18</v>
      </c>
      <c r="F2" s="213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9"/>
      <c r="F3" s="21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4"/>
      <c r="F11" s="21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16</v>
      </c>
      <c r="B1" s="164">
        <v>1</v>
      </c>
      <c r="C1" s="164"/>
      <c r="D1" s="157" t="s">
        <v>19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46</v>
      </c>
      <c r="C2" s="160"/>
      <c r="D2" s="78" t="s">
        <v>17</v>
      </c>
      <c r="E2" s="207" t="s">
        <v>18</v>
      </c>
      <c r="F2" s="208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9"/>
      <c r="F3" s="210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2" t="s">
        <v>33</v>
      </c>
      <c r="B11" s="83">
        <f>SUM(B3:B10)</f>
        <v>0</v>
      </c>
      <c r="C11" s="162" t="str">
        <f xml:space="preserve"> setValueToTime(B11)</f>
        <v>0h</v>
      </c>
      <c r="D11" s="121"/>
      <c r="E11" s="205"/>
      <c r="F11" s="20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eate a new document." ma:contentTypeScope="" ma:versionID="f1477614ebe6855c7c93eeb549afaf14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db8bad8b1d177b0b9edef046461580ff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CB69F36-E8B9-4448-99DC-AB9DBB31F6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Lucas Lordon</dc:creator>
  <cp:lastModifiedBy>Lucas Lordon</cp:lastModifiedBy>
  <cp:lastPrinted>2019-05-08T10:31:53Z</cp:lastPrinted>
  <dcterms:created xsi:type="dcterms:W3CDTF">1996-10-21T11:03:58Z</dcterms:created>
  <dcterms:modified xsi:type="dcterms:W3CDTF">2023-11-14T15:30:32Z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