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lordon\Documents\GitHub\P_Bulles_Snake\Doc\WIP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B24" i="12"/>
  <c r="C23" i="12"/>
  <c r="C22" i="12"/>
  <c r="C21" i="12"/>
  <c r="C20" i="12"/>
  <c r="C19" i="12"/>
  <c r="C18" i="12"/>
  <c r="C17" i="12"/>
  <c r="C16" i="12"/>
  <c r="C8" i="12"/>
  <c r="C6" i="12"/>
  <c r="C7" i="12"/>
  <c r="C5" i="12"/>
  <c r="C4" i="12"/>
  <c r="C12" i="12"/>
  <c r="C24" i="12"/>
  <c r="B36" i="12" l="1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C36" i="12"/>
  <c r="C48" i="12"/>
  <c r="B60" i="12" l="1"/>
  <c r="C59" i="12"/>
  <c r="C58" i="12"/>
  <c r="C57" i="12"/>
  <c r="C56" i="12"/>
  <c r="C55" i="12"/>
  <c r="C54" i="12"/>
  <c r="C53" i="12"/>
  <c r="C52" i="12"/>
  <c r="C60" i="12"/>
  <c r="B72" i="12" l="1"/>
  <c r="C71" i="12"/>
  <c r="C70" i="12"/>
  <c r="C69" i="12"/>
  <c r="C68" i="12"/>
  <c r="C67" i="12"/>
  <c r="C66" i="12"/>
  <c r="C64" i="12"/>
  <c r="C72" i="12"/>
  <c r="C65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<sst xmlns="http://schemas.openxmlformats.org/spreadsheetml/2006/main" count="243" uniqueCount="74">
  <si>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</si>
  <si>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</si>
  <si>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</si>
  <si>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</si>
  <si>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</si>
  <si>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</si>
  <si>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</si>
  <si>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</si>
  <si>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</si>
  <si>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</si>
  <si>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</si>
  <si>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</si>
  <si>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</si>
  <si>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</si>
  <si>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</si>
  <si>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</si>
  <si>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</si>
  <si>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</si>
  <si>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</si>
  <si>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</si>
  <si>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</si>
  <si>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</si>
  <si>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</si>
  <si>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</si>
  <si>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</si>
  <si>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</si>
  <si>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</si>
  <si>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</si>
  <si>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</si>
  <si>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</si>
  <si>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</si>
  <si>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</si>
  <si>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</si>
  <si>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</si>
  <si>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</si>
  <si>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</si>
  <si>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</si>
  <si>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</si>
  <si>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</si>
  <si>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</si>
  <si>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</si>
  <si>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</si>
  <si>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</si>
  <si>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</si>
  <si>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</si>
  <si>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</si>
  <si>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</si>
  <si>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</si>
  <si>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</si>
  <si>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</si>
  <si>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</si>
  <si>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</si>
  <si>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</si>
  <si>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</si>
  <si>
    <t>Apprendre</t>
  </si>
  <si>
    <t>Avancer dans la doc de JavaScriptInfo</t>
  </si>
  <si>
    <t>https://fr.javascript.info/</t>
  </si>
  <si>
    <t>Reflection logique</t>
  </si>
  <si>
    <t>J'ai commencer à réfléchir par papier, afin de commencer le projet.</t>
  </si>
  <si>
    <t xml:space="preserve">J'ai fais des recherche sur les tableau en java script car j'ai encore de la peine à comprendre les tableau non typés. </t>
  </si>
  <si>
    <t>Site utiles dans mes recherches : https://developer.mozilla.org/fr/</t>
  </si>
  <si>
    <t>Code</t>
  </si>
  <si>
    <t>J'ai commencer le code</t>
  </si>
  <si>
    <t>7h45min</t>
  </si>
  <si>
    <t>+ 7h45min</t>
  </si>
  <si>
    <t>J'ai fini de coder les déplacement du serpent (:</t>
  </si>
  <si>
    <t>Changer tous les if en ?:</t>
  </si>
  <si>
    <t xml:space="preserve">Comprendre le mapping </t>
  </si>
  <si>
    <t>Comprendre le Aray.Foreach</t>
  </si>
  <si>
    <t>intro + vidéo DevOps</t>
  </si>
  <si>
    <t>Remplire Auto évaluation</t>
  </si>
  <si>
    <t>Début rapport + Auto éval de "ACD"</t>
  </si>
  <si>
    <t>regarder des portfolio</t>
  </si>
  <si>
    <t>Faire fonctionner le multiplayer du snake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</si>
</sst>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 applyProtection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0" fillId="0" borderId="33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7" t="s">
        <v>38</v>
      </c>
      <c r="C35" s="177"/>
      <c r="D35" s="177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8" t="s">
        <v>39</v>
      </c>
      <c r="C37" s="178"/>
      <c r="D37" s="178"/>
      <c r="E37" s="109" t="s">
        <v>63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75" t="s">
        <v>64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55" zoomScale="70" zoomScaleNormal="70" zoomScaleSheetLayoutView="43" workbookViewId="0">
      <selection activeCell="E95" sqref="E95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81" t="s">
        <v>35</v>
      </c>
      <c r="D1" s="181"/>
      <c r="E1" s="18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0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1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1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2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82"/>
      <c r="D7" s="182"/>
      <c r="E7" s="182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0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1"/>
      <c r="E9" s="13" t="s">
        <v>26</v>
      </c>
      <c r="F9" s="14"/>
      <c r="G9" s="193" t="str">
        <f>E96</f>
        <v>0h</v>
      </c>
      <c r="H9" s="193"/>
      <c r="I9" s="193"/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3"/>
      <c r="V9" s="119"/>
      <c r="W9" s="192" t="s">
        <v>27</v>
      </c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3" t="str">
        <f>E98</f>
        <v>7h45min</v>
      </c>
      <c r="AI9" s="193"/>
      <c r="AJ9" s="193"/>
      <c r="AK9" s="193"/>
      <c r="AL9" s="193"/>
      <c r="AM9" s="193"/>
      <c r="AN9" s="193"/>
      <c r="AO9" s="193"/>
      <c r="AP9" s="193"/>
      <c r="AQ9" s="193"/>
      <c r="AR9" s="193"/>
      <c r="AS9" s="193"/>
      <c r="AT9" s="193"/>
      <c r="AU9" s="193"/>
      <c r="AV9" s="193"/>
      <c r="AW9" s="19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5"/>
      <c r="BO10" s="195"/>
      <c r="BP10" s="195"/>
      <c r="BQ10" s="195"/>
      <c r="BR10" s="195"/>
      <c r="BS10" s="195"/>
      <c r="BT10" s="195"/>
      <c r="BU10" s="195"/>
      <c r="BV10" s="195"/>
      <c r="BW10" s="195"/>
      <c r="BX10" s="195"/>
      <c r="BY10" s="195"/>
      <c r="BZ10" s="195"/>
      <c r="CA10" s="195"/>
      <c r="CB10" s="195"/>
      <c r="CC10" s="195"/>
      <c r="CD10" s="195"/>
      <c r="CE10" s="195"/>
      <c r="CF10" s="195"/>
      <c r="CG10" s="195"/>
      <c r="CH10" s="195"/>
      <c r="CI10" s="195"/>
      <c r="CJ10" s="195"/>
      <c r="CK10" s="195"/>
      <c r="CL10" s="195"/>
      <c r="CM10" s="195"/>
      <c r="CN10" s="195"/>
      <c r="CO10" s="195"/>
      <c r="CP10" s="195"/>
      <c r="CQ10" s="92"/>
      <c r="CR10" s="194"/>
      <c r="CS10" s="194"/>
      <c r="CT10" s="194"/>
      <c r="CU10" s="194"/>
      <c r="CV10" s="194"/>
      <c r="CW10" s="194"/>
      <c r="CX10" s="194"/>
      <c r="CY10" s="194"/>
      <c r="CZ10" s="194"/>
      <c r="DA10" s="194"/>
      <c r="DB10" s="194"/>
      <c r="DC10" s="194"/>
      <c r="DD10" s="194"/>
      <c r="DE10" s="194"/>
      <c r="DF10" s="194"/>
      <c r="DG10" s="194"/>
      <c r="DH10" s="194"/>
      <c r="DI10" s="194"/>
      <c r="DJ10" s="194"/>
      <c r="DK10" s="194"/>
      <c r="DL10" s="194"/>
      <c r="DM10" s="194"/>
      <c r="DN10" s="194"/>
      <c r="DO10" s="194"/>
      <c r="DP10" s="194"/>
      <c r="DQ10" s="194"/>
      <c r="DR10" s="194"/>
      <c r="DS10" s="194"/>
      <c r="DT10" s="194"/>
      <c r="DU10" s="194"/>
      <c r="DV10" s="194"/>
      <c r="DW10" s="194"/>
      <c r="DX10" s="194"/>
      <c r="DY10" s="194"/>
      <c r="DZ10" s="194"/>
      <c r="EA10" s="194"/>
      <c r="EB10" s="194"/>
      <c r="EC10" s="194"/>
      <c r="ED10" s="194"/>
      <c r="EE10" s="194"/>
      <c r="EF10" s="194"/>
      <c r="EG10" s="194"/>
      <c r="EH10" s="194"/>
      <c r="EI10" s="194"/>
      <c r="EJ10" s="194"/>
      <c r="EK10" s="194"/>
      <c r="EL10" s="194"/>
      <c r="EM10" s="194"/>
      <c r="EN10" s="194"/>
      <c r="EO10" s="194"/>
      <c r="EP10" s="194"/>
      <c r="EQ10" s="194"/>
      <c r="ER10" s="194"/>
      <c r="ES10" s="194"/>
      <c r="ET10" s="194"/>
      <c r="EU10" s="194"/>
      <c r="EV10" s="194"/>
      <c r="EW10" s="194"/>
      <c r="EX10" s="194"/>
      <c r="EY10" s="194"/>
      <c r="EZ10" s="194"/>
      <c r="FA10" s="194"/>
      <c r="FB10" s="194"/>
      <c r="FC10" s="194"/>
      <c r="FD10" s="194"/>
      <c r="FE10" s="194"/>
      <c r="FF10" s="194"/>
      <c r="FG10" s="194"/>
      <c r="FH10" s="194"/>
      <c r="FI10" s="194"/>
      <c r="FJ10" s="194"/>
      <c r="FK10" s="194"/>
      <c r="FL10" s="194"/>
      <c r="FM10" s="194"/>
      <c r="FN10" s="194"/>
      <c r="FO10" s="194"/>
      <c r="FP10" s="194"/>
      <c r="FQ10" s="194"/>
      <c r="FR10" s="194"/>
      <c r="FS10" s="194"/>
      <c r="FT10" s="194"/>
      <c r="FU10" s="194"/>
      <c r="FV10" s="194"/>
      <c r="FW10" s="194"/>
      <c r="FX10" s="194"/>
      <c r="FY10" s="194"/>
      <c r="FZ10" s="194"/>
      <c r="GA10" s="194"/>
      <c r="GB10" s="194"/>
      <c r="GC10" s="194"/>
      <c r="GD10" s="90"/>
    </row>
    <row r="11" spans="1:186" ht="20.100000000000001" customHeight="1" x14ac:dyDescent="0.25">
      <c r="B11" s="96"/>
      <c r="C11" s="179"/>
      <c r="D11" s="179"/>
      <c r="E11" s="179"/>
      <c r="F11" s="191" t="s">
        <v>48</v>
      </c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  <c r="BJ11" s="191"/>
      <c r="BK11" s="191"/>
      <c r="BL11" s="191"/>
      <c r="BM11" s="191"/>
      <c r="BN11" s="191" t="s">
        <v>48</v>
      </c>
      <c r="BO11" s="191"/>
      <c r="BP11" s="191"/>
      <c r="BQ11" s="191"/>
      <c r="BR11" s="191"/>
      <c r="BS11" s="191"/>
      <c r="BT11" s="191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191"/>
      <c r="CO11" s="191"/>
      <c r="CP11" s="191"/>
      <c r="CQ11" s="191"/>
      <c r="CR11" s="191"/>
      <c r="CS11" s="191"/>
      <c r="CT11" s="191"/>
      <c r="CU11" s="191"/>
      <c r="CV11" s="191"/>
      <c r="CW11" s="191"/>
      <c r="CX11" s="191"/>
      <c r="CY11" s="191"/>
      <c r="CZ11" s="191"/>
      <c r="DA11" s="191"/>
      <c r="DB11" s="191"/>
      <c r="DC11" s="191"/>
      <c r="DD11" s="191"/>
      <c r="DE11" s="191"/>
      <c r="DF11" s="191"/>
      <c r="DG11" s="191"/>
      <c r="DH11" s="191"/>
      <c r="DI11" s="191"/>
      <c r="DJ11" s="191"/>
      <c r="DK11" s="191"/>
      <c r="DL11" s="191"/>
      <c r="DM11" s="191"/>
      <c r="DN11" s="191"/>
      <c r="DO11" s="191"/>
      <c r="DP11" s="191"/>
      <c r="DQ11" s="191"/>
      <c r="DR11" s="191"/>
      <c r="DS11" s="191"/>
      <c r="DT11" s="191"/>
      <c r="DU11" s="191"/>
      <c r="DV11" s="196" t="s">
        <v>48</v>
      </c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/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90"/>
    </row>
    <row r="12" spans="1:186" ht="15.75" customHeight="1" thickBot="1" x14ac:dyDescent="0.3">
      <c r="B12" s="97"/>
      <c r="C12" s="180"/>
      <c r="D12" s="180"/>
      <c r="E12" s="180"/>
      <c r="F12" s="190" t="s">
        <v>49</v>
      </c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 t="s">
        <v>49</v>
      </c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/>
      <c r="DB12" s="190"/>
      <c r="DC12" s="190"/>
      <c r="DD12" s="190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/>
      <c r="DS12" s="190"/>
      <c r="DT12" s="190"/>
      <c r="DU12" s="190"/>
      <c r="DV12" s="197" t="s">
        <v>49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90"/>
    </row>
    <row r="13" spans="1:186" ht="42.75" customHeight="1" thickBot="1" x14ac:dyDescent="0.3">
      <c r="B13" s="96"/>
      <c r="C13" s="186" t="s">
        <v>7</v>
      </c>
      <c r="D13" s="144"/>
      <c r="E13" s="188" t="s">
        <v>45</v>
      </c>
      <c r="F13" s="198" t="s">
        <v>8</v>
      </c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199"/>
      <c r="BM13" s="200"/>
      <c r="BN13" s="198" t="s">
        <v>32</v>
      </c>
      <c r="BO13" s="199"/>
      <c r="BP13" s="199"/>
      <c r="BQ13" s="199"/>
      <c r="BR13" s="199"/>
      <c r="BS13" s="199"/>
      <c r="BT13" s="199"/>
      <c r="BU13" s="199"/>
      <c r="BV13" s="199"/>
      <c r="BW13" s="199"/>
      <c r="BX13" s="199"/>
      <c r="BY13" s="199"/>
      <c r="BZ13" s="199"/>
      <c r="CA13" s="199"/>
      <c r="CB13" s="199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199"/>
      <c r="CO13" s="199"/>
      <c r="CP13" s="199"/>
      <c r="CQ13" s="199"/>
      <c r="CR13" s="199"/>
      <c r="CS13" s="199"/>
      <c r="CT13" s="199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199"/>
      <c r="DG13" s="199"/>
      <c r="DH13" s="199"/>
      <c r="DI13" s="199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200"/>
      <c r="DV13" s="198" t="s">
        <v>23</v>
      </c>
      <c r="DW13" s="199"/>
      <c r="DX13" s="199"/>
      <c r="DY13" s="199"/>
      <c r="DZ13" s="199"/>
      <c r="EA13" s="199"/>
      <c r="EB13" s="199"/>
      <c r="EC13" s="199"/>
      <c r="ED13" s="199"/>
      <c r="EE13" s="199"/>
      <c r="EF13" s="199"/>
      <c r="EG13" s="199"/>
      <c r="EH13" s="199"/>
      <c r="EI13" s="199"/>
      <c r="EJ13" s="199"/>
      <c r="EK13" s="199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199"/>
      <c r="FD13" s="199"/>
      <c r="FE13" s="199"/>
      <c r="FF13" s="199"/>
      <c r="FG13" s="199"/>
      <c r="FH13" s="199"/>
      <c r="FI13" s="199"/>
      <c r="FJ13" s="199"/>
      <c r="FK13" s="199"/>
      <c r="FL13" s="199"/>
      <c r="FM13" s="199"/>
      <c r="FN13" s="199"/>
      <c r="FO13" s="199"/>
      <c r="FP13" s="199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199"/>
      <c r="GC13" s="200"/>
      <c r="GD13" s="90"/>
    </row>
    <row r="14" spans="1:186" ht="12.75" customHeight="1" thickBot="1" x14ac:dyDescent="0.35">
      <c r="B14" s="96"/>
      <c r="C14" s="187"/>
      <c r="D14" s="145"/>
      <c r="E14" s="189"/>
      <c r="F14" s="103"/>
      <c r="G14" s="104"/>
      <c r="H14" s="104"/>
      <c r="I14" s="104"/>
      <c r="J14" s="201" t="s">
        <v>40</v>
      </c>
      <c r="K14" s="201"/>
      <c r="L14" s="201"/>
      <c r="M14" s="201"/>
      <c r="N14" s="104"/>
      <c r="O14" s="104"/>
      <c r="P14" s="202" t="s">
        <v>28</v>
      </c>
      <c r="Q14" s="202"/>
      <c r="R14" s="202"/>
      <c r="S14" s="202"/>
      <c r="T14" s="129"/>
      <c r="U14" s="129"/>
      <c r="V14" s="201" t="s">
        <v>41</v>
      </c>
      <c r="W14" s="201"/>
      <c r="X14" s="201"/>
      <c r="Y14" s="201"/>
      <c r="Z14" s="104"/>
      <c r="AA14" s="104"/>
      <c r="AB14" s="202" t="s">
        <v>29</v>
      </c>
      <c r="AC14" s="202"/>
      <c r="AD14" s="202"/>
      <c r="AE14" s="202"/>
      <c r="AF14" s="129"/>
      <c r="AG14" s="129"/>
      <c r="AH14" s="201" t="s">
        <v>42</v>
      </c>
      <c r="AI14" s="201"/>
      <c r="AJ14" s="201"/>
      <c r="AK14" s="201"/>
      <c r="AL14" s="104"/>
      <c r="AM14" s="104"/>
      <c r="AN14" s="202" t="s">
        <v>30</v>
      </c>
      <c r="AO14" s="202"/>
      <c r="AP14" s="202"/>
      <c r="AQ14" s="202"/>
      <c r="AR14" s="129"/>
      <c r="AS14" s="129"/>
      <c r="AT14" s="201" t="s">
        <v>43</v>
      </c>
      <c r="AU14" s="201"/>
      <c r="AV14" s="201"/>
      <c r="AW14" s="201"/>
      <c r="AX14" s="104"/>
      <c r="AY14" s="104"/>
      <c r="AZ14" s="202" t="s">
        <v>31</v>
      </c>
      <c r="BA14" s="202"/>
      <c r="BB14" s="202"/>
      <c r="BC14" s="202"/>
      <c r="BD14" s="129"/>
      <c r="BE14" s="129"/>
      <c r="BF14" s="201" t="s">
        <v>44</v>
      </c>
      <c r="BG14" s="201"/>
      <c r="BH14" s="201"/>
      <c r="BI14" s="201"/>
      <c r="BJ14" s="104"/>
      <c r="BK14" s="104"/>
      <c r="BL14" s="104"/>
      <c r="BM14" s="105"/>
      <c r="BN14" s="103"/>
      <c r="BO14" s="104"/>
      <c r="BP14" s="104"/>
      <c r="BQ14" s="104"/>
      <c r="BR14" s="201" t="s">
        <v>40</v>
      </c>
      <c r="BS14" s="201"/>
      <c r="BT14" s="201"/>
      <c r="BU14" s="201"/>
      <c r="BV14" s="104"/>
      <c r="BW14" s="104"/>
      <c r="BX14" s="202" t="s">
        <v>28</v>
      </c>
      <c r="BY14" s="202"/>
      <c r="BZ14" s="202"/>
      <c r="CA14" s="202"/>
      <c r="CB14" s="129"/>
      <c r="CC14" s="129"/>
      <c r="CD14" s="201" t="s">
        <v>41</v>
      </c>
      <c r="CE14" s="201"/>
      <c r="CF14" s="201"/>
      <c r="CG14" s="201"/>
      <c r="CH14" s="104"/>
      <c r="CI14" s="104"/>
      <c r="CJ14" s="202" t="s">
        <v>29</v>
      </c>
      <c r="CK14" s="202"/>
      <c r="CL14" s="202"/>
      <c r="CM14" s="202"/>
      <c r="CN14" s="129"/>
      <c r="CO14" s="129"/>
      <c r="CP14" s="201" t="s">
        <v>42</v>
      </c>
      <c r="CQ14" s="201"/>
      <c r="CR14" s="201"/>
      <c r="CS14" s="201"/>
      <c r="CT14" s="104"/>
      <c r="CU14" s="104"/>
      <c r="CV14" s="202" t="s">
        <v>30</v>
      </c>
      <c r="CW14" s="202"/>
      <c r="CX14" s="202"/>
      <c r="CY14" s="202"/>
      <c r="CZ14" s="129"/>
      <c r="DA14" s="129"/>
      <c r="DB14" s="201" t="s">
        <v>43</v>
      </c>
      <c r="DC14" s="201"/>
      <c r="DD14" s="201"/>
      <c r="DE14" s="201"/>
      <c r="DF14" s="104"/>
      <c r="DG14" s="104"/>
      <c r="DH14" s="202" t="s">
        <v>31</v>
      </c>
      <c r="DI14" s="202"/>
      <c r="DJ14" s="202"/>
      <c r="DK14" s="202"/>
      <c r="DL14" s="129"/>
      <c r="DM14" s="129"/>
      <c r="DN14" s="201" t="s">
        <v>44</v>
      </c>
      <c r="DO14" s="201"/>
      <c r="DP14" s="201"/>
      <c r="DQ14" s="201"/>
      <c r="DR14" s="104"/>
      <c r="DS14" s="104"/>
      <c r="DT14" s="104"/>
      <c r="DU14" s="105"/>
      <c r="DV14" s="103"/>
      <c r="DW14" s="104"/>
      <c r="DX14" s="104"/>
      <c r="DY14" s="104"/>
      <c r="DZ14" s="201" t="s">
        <v>40</v>
      </c>
      <c r="EA14" s="201"/>
      <c r="EB14" s="201"/>
      <c r="EC14" s="201"/>
      <c r="ED14" s="104"/>
      <c r="EE14" s="104"/>
      <c r="EF14" s="202" t="s">
        <v>28</v>
      </c>
      <c r="EG14" s="202"/>
      <c r="EH14" s="202"/>
      <c r="EI14" s="202"/>
      <c r="EJ14" s="129"/>
      <c r="EK14" s="129"/>
      <c r="EL14" s="201" t="s">
        <v>41</v>
      </c>
      <c r="EM14" s="201"/>
      <c r="EN14" s="201"/>
      <c r="EO14" s="201"/>
      <c r="EP14" s="104"/>
      <c r="EQ14" s="104"/>
      <c r="ER14" s="202" t="s">
        <v>29</v>
      </c>
      <c r="ES14" s="202"/>
      <c r="ET14" s="202"/>
      <c r="EU14" s="202"/>
      <c r="EV14" s="129"/>
      <c r="EW14" s="129"/>
      <c r="EX14" s="201" t="s">
        <v>42</v>
      </c>
      <c r="EY14" s="201"/>
      <c r="EZ14" s="201"/>
      <c r="FA14" s="201"/>
      <c r="FB14" s="104"/>
      <c r="FC14" s="104"/>
      <c r="FD14" s="202" t="s">
        <v>30</v>
      </c>
      <c r="FE14" s="202"/>
      <c r="FF14" s="202"/>
      <c r="FG14" s="202"/>
      <c r="FH14" s="129"/>
      <c r="FI14" s="129"/>
      <c r="FJ14" s="201" t="s">
        <v>43</v>
      </c>
      <c r="FK14" s="201"/>
      <c r="FL14" s="201"/>
      <c r="FM14" s="201"/>
      <c r="FN14" s="104"/>
      <c r="FO14" s="104"/>
      <c r="FP14" s="202" t="s">
        <v>31</v>
      </c>
      <c r="FQ14" s="202"/>
      <c r="FR14" s="202"/>
      <c r="FS14" s="202"/>
      <c r="FT14" s="129"/>
      <c r="FU14" s="129"/>
      <c r="FV14" s="201" t="s">
        <v>44</v>
      </c>
      <c r="FW14" s="201"/>
      <c r="FX14" s="201"/>
      <c r="FY14" s="201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3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4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3" t="s">
        <v>36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4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3" t="s">
        <v>37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Mise en place du projet</v>
      </c>
      <c r="C20" s="185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Explication</v>
      </c>
      <c r="C21" s="183" t="s">
        <v>21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>Apprendre</v>
      </c>
      <c r="C22" s="185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Reflection logique</v>
      </c>
      <c r="C23" s="183" t="s">
        <v>20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Code</v>
      </c>
      <c r="C24" s="185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3" t="s">
        <v>50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4"/>
      <c r="D26" s="148" t="str">
        <f t="shared" si="0"/>
        <v>1h40min</v>
      </c>
      <c r="E26" s="35">
        <v>20</v>
      </c>
      <c r="F26" s="36"/>
      <c r="G26" s="65"/>
      <c r="H26" s="65"/>
      <c r="I26" s="65"/>
      <c r="J26" s="169"/>
      <c r="K26" s="170"/>
      <c r="L26" s="169"/>
      <c r="M26" s="169"/>
      <c r="N26" s="169"/>
      <c r="O26" s="169"/>
      <c r="P26" s="169"/>
      <c r="Q26" s="171"/>
      <c r="R26" s="169"/>
      <c r="S26" s="169"/>
      <c r="T26" s="169"/>
      <c r="U26" s="169"/>
      <c r="V26" s="169"/>
      <c r="W26" s="172"/>
      <c r="X26" s="169"/>
      <c r="Y26" s="169"/>
      <c r="Z26" s="169"/>
      <c r="AA26" s="169"/>
      <c r="AB26" s="169"/>
      <c r="AC26" s="171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3" t="s">
        <v>51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4"/>
      <c r="D28" s="148" t="str">
        <f t="shared" si="0"/>
        <v>0h20min</v>
      </c>
      <c r="E28" s="27">
        <v>4</v>
      </c>
      <c r="F28" s="167"/>
      <c r="G28" s="168"/>
      <c r="H28" s="168"/>
      <c r="I28" s="168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3" t="s">
        <v>54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4"/>
      <c r="D30" s="148" t="str">
        <f t="shared" si="0"/>
        <v>3h30min</v>
      </c>
      <c r="E30" s="35">
        <v>42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169"/>
      <c r="AE30" s="169"/>
      <c r="AF30" s="169"/>
      <c r="AG30" s="169"/>
      <c r="AH30" s="169"/>
      <c r="AI30" s="172"/>
      <c r="AJ30" s="173"/>
      <c r="AK30" s="173"/>
      <c r="AL30" s="173"/>
      <c r="AM30" s="173"/>
      <c r="AN30" s="169"/>
      <c r="AO30" s="171"/>
      <c r="AP30" s="169"/>
      <c r="AQ30" s="169"/>
      <c r="AR30" s="169"/>
      <c r="AS30" s="169"/>
      <c r="AT30" s="169"/>
      <c r="AU30" s="172"/>
      <c r="AV30" s="169"/>
      <c r="AW30" s="169"/>
      <c r="AX30" s="169"/>
      <c r="AY30" s="169"/>
      <c r="AZ30" s="169"/>
      <c r="BA30" s="171"/>
      <c r="BB30" s="169"/>
      <c r="BC30" s="169"/>
      <c r="BD30" s="169"/>
      <c r="BE30" s="169"/>
      <c r="BF30" s="169"/>
      <c r="BG30" s="172"/>
      <c r="BH30" s="169"/>
      <c r="BI30" s="169"/>
      <c r="BJ30" s="169"/>
      <c r="BK30" s="169"/>
      <c r="BL30" s="169"/>
      <c r="BM30" s="174"/>
      <c r="BN30" s="36"/>
      <c r="BO30" s="65"/>
      <c r="BP30" s="65"/>
      <c r="BQ30" s="173"/>
      <c r="BR30" s="169"/>
      <c r="BS30" s="170"/>
      <c r="BT30" s="169"/>
      <c r="BU30" s="169"/>
      <c r="BV30" s="169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3" t="s">
        <v>57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4"/>
      <c r="D32" s="148" t="str">
        <f t="shared" si="0"/>
        <v>0h15min</v>
      </c>
      <c r="E32" s="27">
        <v>3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167"/>
      <c r="BO32" s="168"/>
      <c r="BP32" s="168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3" t="s">
        <v>61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4"/>
      <c r="D34" s="148" t="str">
        <f t="shared" si="0"/>
        <v>2h</v>
      </c>
      <c r="E34" s="35">
        <v>24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169"/>
      <c r="BX34" s="169"/>
      <c r="BY34" s="171"/>
      <c r="BZ34" s="169"/>
      <c r="CA34" s="169"/>
      <c r="CB34" s="169"/>
      <c r="CC34" s="169"/>
      <c r="CD34" s="169"/>
      <c r="CE34" s="172"/>
      <c r="CF34" s="169"/>
      <c r="CG34" s="169"/>
      <c r="CH34" s="169"/>
      <c r="CI34" s="169"/>
      <c r="CJ34" s="169"/>
      <c r="CK34" s="171"/>
      <c r="CL34" s="169"/>
      <c r="CM34" s="169"/>
      <c r="CN34" s="169"/>
      <c r="CO34" s="169"/>
      <c r="CP34" s="169"/>
      <c r="CQ34" s="172"/>
      <c r="CR34" s="173"/>
      <c r="CS34" s="173"/>
      <c r="CT34" s="173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3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5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3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4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3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5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3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4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3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4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3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5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3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4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3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4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3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5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3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4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3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5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3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4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3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4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3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5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3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4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3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4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3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5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3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4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3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5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3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4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3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4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3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5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3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4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3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4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3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5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3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4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3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5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3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4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3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4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3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5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207" t="s">
        <v>9</v>
      </c>
      <c r="D95" s="208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209"/>
      <c r="D96" s="210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203" t="s">
        <v>10</v>
      </c>
      <c r="D97" s="204"/>
      <c r="E97" s="118">
        <f>SUM(E16,E18,E20,E22,E24,E26,E28,E30,E32,E34,E36,E38,E40,E42,E44,E46,E48,E50,E52,E54,E56,E58,E60,E62,E64,E66,E68,E70,E72,E74,E76,E78,E80,E82,E84,E86,E88,E90,E92,E94)</f>
        <v>93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205"/>
      <c r="D98" s="206"/>
      <c r="E98" s="122" t="str">
        <f xml:space="preserve"> setValueToTime(E97)</f>
        <v>7h45min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55:C56"/>
    <mergeCell ref="C57:C58"/>
    <mergeCell ref="C59:C60"/>
    <mergeCell ref="C61:C62"/>
    <mergeCell ref="C83:C84"/>
    <mergeCell ref="C81:C82"/>
    <mergeCell ref="C79:C80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73"/>
  <sheetViews>
    <sheetView showGridLines="0" tabSelected="1" zoomScaleNormal="100" zoomScaleSheetLayoutView="98" workbookViewId="0">
      <pane ySplit="1" topLeftCell="A2" activePane="bottomLeft" state="frozen"/>
      <selection pane="bottomLeft" activeCell="B9" sqref="B9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8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16</v>
      </c>
      <c r="B2" s="164">
        <v>6</v>
      </c>
      <c r="C2" s="164"/>
      <c r="D2" s="157" t="s">
        <v>19</v>
      </c>
      <c r="E2" s="158">
        <v>45279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46</v>
      </c>
      <c r="C3" s="160"/>
      <c r="D3" s="78" t="s">
        <v>17</v>
      </c>
      <c r="E3" s="217" t="s">
        <v>18</v>
      </c>
      <c r="F3" s="218"/>
      <c r="G3" s="46"/>
    </row>
    <row r="4" spans="1:7" s="52" customFormat="1" x14ac:dyDescent="0.3">
      <c r="A4" s="48"/>
      <c r="B4" s="49">
        <v>2</v>
      </c>
      <c r="C4" s="152" t="str">
        <f xml:space="preserve"> IF(B4="","",setValueToTime(B4))</f>
        <v>0h10min</v>
      </c>
      <c r="D4" s="50" t="s">
        <v>69</v>
      </c>
      <c r="E4" s="219"/>
      <c r="F4" s="220"/>
      <c r="G4" s="51"/>
    </row>
    <row r="5" spans="1:7" s="52" customFormat="1" x14ac:dyDescent="0.3">
      <c r="A5" s="53"/>
      <c r="B5" s="54">
        <v>1</v>
      </c>
      <c r="C5" s="153" t="str">
        <f t="shared" ref="C5:C11" si="0" xml:space="preserve"> IF(B5="","",setValueToTime(B5))</f>
        <v>0h5min</v>
      </c>
      <c r="D5" s="166" t="s">
        <v>70</v>
      </c>
      <c r="E5" s="211"/>
      <c r="F5" s="212"/>
      <c r="G5" s="51"/>
    </row>
    <row r="6" spans="1:7" s="52" customFormat="1" x14ac:dyDescent="0.3">
      <c r="A6" s="53"/>
      <c r="B6" s="54">
        <v>20</v>
      </c>
      <c r="C6" s="153" t="str">
        <f t="shared" si="0"/>
        <v>1h40min</v>
      </c>
      <c r="D6" s="55" t="s">
        <v>71</v>
      </c>
      <c r="E6" s="211"/>
      <c r="F6" s="212"/>
      <c r="G6" s="51"/>
    </row>
    <row r="7" spans="1:7" s="52" customFormat="1" x14ac:dyDescent="0.3">
      <c r="A7" s="53"/>
      <c r="B7" s="54">
        <v>3</v>
      </c>
      <c r="C7" s="153" t="str">
        <f t="shared" si="0"/>
        <v>0h15min</v>
      </c>
      <c r="D7" s="55" t="s">
        <v>72</v>
      </c>
      <c r="E7" s="211"/>
      <c r="F7" s="212"/>
      <c r="G7" s="51"/>
    </row>
    <row r="8" spans="1:7" s="52" customFormat="1" x14ac:dyDescent="0.3">
      <c r="A8" s="54"/>
      <c r="B8" s="54">
        <v>16</v>
      </c>
      <c r="C8" s="154" t="str">
        <f t="shared" si="0"/>
        <v>1h20min</v>
      </c>
      <c r="D8" s="55" t="s">
        <v>73</v>
      </c>
      <c r="E8" s="211"/>
      <c r="F8" s="21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1"/>
      <c r="F9" s="21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1"/>
      <c r="F10" s="21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3"/>
      <c r="F11" s="214"/>
      <c r="G11" s="51"/>
    </row>
    <row r="12" spans="1:7" s="52" customFormat="1" ht="15" thickBot="1" x14ac:dyDescent="0.35">
      <c r="A12" s="162" t="s">
        <v>33</v>
      </c>
      <c r="B12" s="83">
        <f>SUM(B4:B11)</f>
        <v>42</v>
      </c>
      <c r="C12" s="162" t="str">
        <f xml:space="preserve"> setValueToTime(B12)</f>
        <v>3h30min</v>
      </c>
      <c r="D12" s="121"/>
      <c r="E12" s="215"/>
      <c r="F12" s="216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16</v>
      </c>
      <c r="B14" s="164">
        <v>5</v>
      </c>
      <c r="C14" s="164"/>
      <c r="D14" s="157" t="s">
        <v>19</v>
      </c>
      <c r="E14" s="158">
        <v>45272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46</v>
      </c>
      <c r="C15" s="160"/>
      <c r="D15" s="78" t="s">
        <v>17</v>
      </c>
      <c r="E15" s="217" t="s">
        <v>18</v>
      </c>
      <c r="F15" s="218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19"/>
      <c r="F16" s="220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11"/>
      <c r="F17" s="21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1"/>
      <c r="F18" s="21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1"/>
      <c r="F19" s="21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1"/>
      <c r="F20" s="21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1"/>
      <c r="F21" s="21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1"/>
      <c r="F22" s="21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3"/>
      <c r="F23" s="214"/>
      <c r="G23" s="51"/>
    </row>
    <row r="24" spans="1:7" s="52" customFormat="1" ht="15" thickBot="1" x14ac:dyDescent="0.35">
      <c r="A24" s="162" t="s">
        <v>33</v>
      </c>
      <c r="B24" s="83">
        <f>SUM(B16:B23)</f>
        <v>0</v>
      </c>
      <c r="C24" s="162" t="str">
        <f xml:space="preserve"> setValueToTime(B24)</f>
        <v>0h</v>
      </c>
      <c r="D24" s="121"/>
      <c r="E24" s="215"/>
      <c r="F24" s="216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16</v>
      </c>
      <c r="B26" s="164">
        <v>4</v>
      </c>
      <c r="C26" s="164"/>
      <c r="D26" s="157" t="s">
        <v>19</v>
      </c>
      <c r="E26" s="158">
        <v>45265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46</v>
      </c>
      <c r="C27" s="160"/>
      <c r="D27" s="78" t="s">
        <v>17</v>
      </c>
      <c r="E27" s="217" t="s">
        <v>18</v>
      </c>
      <c r="F27" s="218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19"/>
      <c r="F28" s="220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11"/>
      <c r="F29" s="21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11"/>
      <c r="F30" s="21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1"/>
      <c r="F31" s="21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1"/>
      <c r="F32" s="21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1"/>
      <c r="F33" s="21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1"/>
      <c r="F34" s="21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3"/>
      <c r="F35" s="214"/>
      <c r="G35" s="51"/>
    </row>
    <row r="36" spans="1:7" s="52" customFormat="1" ht="15" thickBot="1" x14ac:dyDescent="0.35">
      <c r="A36" s="162" t="s">
        <v>33</v>
      </c>
      <c r="B36" s="83">
        <f>SUM(B28:B35)</f>
        <v>0</v>
      </c>
      <c r="C36" s="162" t="str">
        <f xml:space="preserve"> setValueToTime(B36)</f>
        <v>0h</v>
      </c>
      <c r="D36" s="121"/>
      <c r="E36" s="215"/>
      <c r="F36" s="216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16</v>
      </c>
      <c r="B38" s="164">
        <v>3</v>
      </c>
      <c r="C38" s="164"/>
      <c r="D38" s="157" t="s">
        <v>19</v>
      </c>
      <c r="E38" s="158">
        <v>45251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46</v>
      </c>
      <c r="C39" s="160"/>
      <c r="D39" s="78" t="s">
        <v>17</v>
      </c>
      <c r="E39" s="217" t="s">
        <v>18</v>
      </c>
      <c r="F39" s="218"/>
      <c r="G39" s="46"/>
    </row>
    <row r="40" spans="1:7" s="52" customFormat="1" x14ac:dyDescent="0.3">
      <c r="A40" s="48" t="s">
        <v>61</v>
      </c>
      <c r="B40" s="49">
        <v>40</v>
      </c>
      <c r="C40" s="152" t="str">
        <f xml:space="preserve"> IF(B40="","",setValueToTime(B40))</f>
        <v>3h20min</v>
      </c>
      <c r="D40" s="165" t="s">
        <v>66</v>
      </c>
      <c r="E40" s="219"/>
      <c r="F40" s="220"/>
      <c r="G40" s="51"/>
    </row>
    <row r="41" spans="1:7" s="52" customFormat="1" x14ac:dyDescent="0.3">
      <c r="A41" s="53" t="s">
        <v>57</v>
      </c>
      <c r="B41" s="54">
        <v>10</v>
      </c>
      <c r="C41" s="153" t="str">
        <f t="shared" ref="C41:C47" si="3" xml:space="preserve"> IF(B41="","",setValueToTime(B41))</f>
        <v>0h50min</v>
      </c>
      <c r="D41" s="166" t="s">
        <v>67</v>
      </c>
      <c r="E41" s="211"/>
      <c r="F41" s="212"/>
      <c r="G41" s="51"/>
    </row>
    <row r="42" spans="1:7" s="52" customFormat="1" x14ac:dyDescent="0.3">
      <c r="A42" s="53" t="s">
        <v>57</v>
      </c>
      <c r="B42" s="54">
        <v>10</v>
      </c>
      <c r="C42" s="153" t="str">
        <f t="shared" si="3"/>
        <v>0h50min</v>
      </c>
      <c r="D42" s="166" t="s">
        <v>68</v>
      </c>
      <c r="E42" s="211"/>
      <c r="F42" s="21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1"/>
      <c r="F43" s="21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1"/>
      <c r="F44" s="21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1"/>
      <c r="F45" s="21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1"/>
      <c r="F46" s="21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3"/>
      <c r="F47" s="214"/>
      <c r="G47" s="51"/>
    </row>
    <row r="48" spans="1:7" s="52" customFormat="1" ht="15" thickBot="1" x14ac:dyDescent="0.35">
      <c r="A48" s="162" t="s">
        <v>33</v>
      </c>
      <c r="B48" s="83">
        <f>SUM(B40:B47)</f>
        <v>60</v>
      </c>
      <c r="C48" s="162" t="str">
        <f xml:space="preserve"> setValueToTime(B48)</f>
        <v>5h</v>
      </c>
      <c r="D48" s="121"/>
      <c r="E48" s="215"/>
      <c r="F48" s="216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16</v>
      </c>
      <c r="B50" s="164">
        <v>2</v>
      </c>
      <c r="C50" s="164"/>
      <c r="D50" s="157" t="s">
        <v>19</v>
      </c>
      <c r="E50" s="158">
        <v>45244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46</v>
      </c>
      <c r="C51" s="160"/>
      <c r="D51" s="78" t="s">
        <v>17</v>
      </c>
      <c r="E51" s="217" t="s">
        <v>18</v>
      </c>
      <c r="F51" s="218"/>
      <c r="G51" s="46"/>
    </row>
    <row r="52" spans="1:7" s="52" customFormat="1" x14ac:dyDescent="0.3">
      <c r="A52" s="48" t="s">
        <v>57</v>
      </c>
      <c r="B52" s="49">
        <v>3</v>
      </c>
      <c r="C52" s="152" t="str">
        <f xml:space="preserve"> IF(B52="","",setValueToTime(B52))</f>
        <v>0h15min</v>
      </c>
      <c r="D52" s="165" t="s">
        <v>58</v>
      </c>
      <c r="E52" s="219"/>
      <c r="F52" s="220"/>
      <c r="G52" s="51"/>
    </row>
    <row r="53" spans="1:7" s="52" customFormat="1" ht="27" x14ac:dyDescent="0.3">
      <c r="A53" s="53" t="s">
        <v>54</v>
      </c>
      <c r="B53" s="54">
        <v>6</v>
      </c>
      <c r="C53" s="153" t="str">
        <f t="shared" ref="C53:C59" si="4" xml:space="preserve"> IF(B53="","",setValueToTime(B53))</f>
        <v>0h30min</v>
      </c>
      <c r="D53" s="166" t="s">
        <v>59</v>
      </c>
      <c r="E53" s="222" t="s">
        <v>60</v>
      </c>
      <c r="F53" s="212"/>
      <c r="G53" s="51"/>
    </row>
    <row r="54" spans="1:7" s="52" customFormat="1" x14ac:dyDescent="0.3">
      <c r="A54" s="53" t="s">
        <v>61</v>
      </c>
      <c r="B54" s="54">
        <v>24</v>
      </c>
      <c r="C54" s="153" t="str">
        <f t="shared" si="4"/>
        <v>2h</v>
      </c>
      <c r="D54" s="166" t="s">
        <v>62</v>
      </c>
      <c r="E54" s="211"/>
      <c r="F54" s="212"/>
      <c r="G54" s="51"/>
    </row>
    <row r="55" spans="1:7" s="52" customFormat="1" x14ac:dyDescent="0.3">
      <c r="A55" s="176" t="s">
        <v>61</v>
      </c>
      <c r="B55" s="54">
        <v>27</v>
      </c>
      <c r="C55" s="153" t="str">
        <f t="shared" si="4"/>
        <v>2h15min</v>
      </c>
      <c r="D55" s="166" t="s">
        <v>65</v>
      </c>
      <c r="E55" s="211"/>
      <c r="F55" s="21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1"/>
      <c r="F56" s="21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1"/>
      <c r="F57" s="21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1"/>
      <c r="F58" s="21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3"/>
      <c r="F59" s="214"/>
      <c r="G59" s="51"/>
    </row>
    <row r="60" spans="1:7" s="52" customFormat="1" ht="15" thickBot="1" x14ac:dyDescent="0.35">
      <c r="A60" s="162" t="s">
        <v>33</v>
      </c>
      <c r="B60" s="83">
        <f>SUM(B52:B59)</f>
        <v>60</v>
      </c>
      <c r="C60" s="162" t="str">
        <f xml:space="preserve"> setValueToTime(B60)</f>
        <v>5h</v>
      </c>
      <c r="D60" s="121"/>
      <c r="E60" s="215"/>
      <c r="F60" s="216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16</v>
      </c>
      <c r="B62" s="164">
        <v>1</v>
      </c>
      <c r="C62" s="164"/>
      <c r="D62" s="157" t="s">
        <v>19</v>
      </c>
      <c r="E62" s="158">
        <v>45237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46</v>
      </c>
      <c r="C63" s="160"/>
      <c r="D63" s="78" t="s">
        <v>17</v>
      </c>
      <c r="E63" s="217" t="s">
        <v>18</v>
      </c>
      <c r="F63" s="218"/>
      <c r="G63" s="46"/>
    </row>
    <row r="64" spans="1:7" s="52" customFormat="1" x14ac:dyDescent="0.3">
      <c r="A64" s="48" t="s">
        <v>51</v>
      </c>
      <c r="B64" s="49">
        <v>4</v>
      </c>
      <c r="C64" s="152" t="str">
        <f xml:space="preserve"> IF(B64="","",setValueToTime(B64))</f>
        <v>0h20min</v>
      </c>
      <c r="D64" s="165" t="s">
        <v>52</v>
      </c>
      <c r="E64" s="219"/>
      <c r="F64" s="220"/>
      <c r="G64" s="51"/>
    </row>
    <row r="65" spans="1:7" s="52" customFormat="1" ht="29.25" customHeight="1" x14ac:dyDescent="0.3">
      <c r="A65" s="53" t="s">
        <v>50</v>
      </c>
      <c r="B65" s="54">
        <v>20</v>
      </c>
      <c r="C65" s="153" t="str">
        <f t="shared" ref="C65:C71" si="5" xml:space="preserve"> IF(B65="","",setValueToTime(B65))</f>
        <v>1h40min</v>
      </c>
      <c r="D65" s="166" t="s">
        <v>53</v>
      </c>
      <c r="E65" s="211"/>
      <c r="F65" s="212"/>
      <c r="G65" s="51"/>
    </row>
    <row r="66" spans="1:7" s="52" customFormat="1" x14ac:dyDescent="0.3">
      <c r="A66" s="53" t="s">
        <v>54</v>
      </c>
      <c r="B66" s="54">
        <v>36</v>
      </c>
      <c r="C66" s="153" t="str">
        <f t="shared" si="5"/>
        <v>3h</v>
      </c>
      <c r="D66" s="166" t="s">
        <v>55</v>
      </c>
      <c r="E66" s="221" t="s">
        <v>56</v>
      </c>
      <c r="F66" s="212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1"/>
      <c r="F67" s="212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1"/>
      <c r="F68" s="21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1"/>
      <c r="F69" s="21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1"/>
      <c r="F70" s="21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3"/>
      <c r="F71" s="214"/>
      <c r="G71" s="51"/>
    </row>
    <row r="72" spans="1:7" s="52" customFormat="1" ht="15" thickBot="1" x14ac:dyDescent="0.35">
      <c r="A72" s="162" t="s">
        <v>33</v>
      </c>
      <c r="B72" s="83">
        <f>SUM(B64:B71)</f>
        <v>60</v>
      </c>
      <c r="C72" s="162" t="str">
        <f xml:space="preserve"> setValueToTime(B72)</f>
        <v>5h</v>
      </c>
      <c r="D72" s="121"/>
      <c r="E72" s="215"/>
      <c r="F72" s="216"/>
      <c r="G72" s="51"/>
    </row>
    <row r="73" spans="1:7" s="59" customFormat="1" x14ac:dyDescent="0.3">
      <c r="A73" s="77"/>
      <c r="B73" s="77"/>
      <c r="C73" s="77"/>
      <c r="D73" s="77"/>
      <c r="E73" s="77"/>
      <c r="F73" s="77"/>
      <c r="G73" s="58"/>
    </row>
  </sheetData>
  <sheetProtection formatRows="0" insertRows="0" insertHyperlinks="0" deleteRows="0" selectLockedCells="1"/>
  <mergeCells count="6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68:F6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>
      <formula1>0</formula1>
      <formula2>60</formula2>
    </dataValidation>
    <dataValidation type="list" allowBlank="1" showInputMessage="1" showErrorMessage="1" sqref="A64:A71 A52:A59 A40:A47 A28:A35 A16:A23 A4:A11">
      <formula1>ListeTaches</formula1>
    </dataValidation>
  </dataValidations>
  <hyperlinks>
    <hyperlink ref="E66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4"/>
      <c r="B10" s="194"/>
      <c r="C10" s="194"/>
      <c r="D10" s="194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4"/>
      <c r="Z10" s="194"/>
      <c r="AA10" s="194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90"/>
    </row>
    <row r="11" spans="1:6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90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90"/>
    </row>
    <row r="13" spans="1:61" ht="18.75" thickBot="1" x14ac:dyDescent="0.3">
      <c r="A13" s="198" t="s">
        <v>16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200"/>
      <c r="BI13" s="90"/>
    </row>
    <row r="14" spans="1:61" ht="15.75" thickBot="1" x14ac:dyDescent="0.35">
      <c r="A14" s="103"/>
      <c r="B14" s="104"/>
      <c r="C14" s="104"/>
      <c r="D14" s="104"/>
      <c r="E14" s="201" t="s">
        <v>40</v>
      </c>
      <c r="F14" s="201"/>
      <c r="G14" s="201"/>
      <c r="H14" s="201"/>
      <c r="I14" s="104"/>
      <c r="J14" s="104"/>
      <c r="K14" s="202" t="s">
        <v>28</v>
      </c>
      <c r="L14" s="202"/>
      <c r="M14" s="202"/>
      <c r="N14" s="202"/>
      <c r="O14" s="129"/>
      <c r="P14" s="129"/>
      <c r="Q14" s="201" t="s">
        <v>41</v>
      </c>
      <c r="R14" s="201"/>
      <c r="S14" s="201"/>
      <c r="T14" s="201"/>
      <c r="U14" s="104"/>
      <c r="V14" s="104"/>
      <c r="W14" s="202" t="s">
        <v>29</v>
      </c>
      <c r="X14" s="202"/>
      <c r="Y14" s="202"/>
      <c r="Z14" s="202"/>
      <c r="AA14" s="129"/>
      <c r="AB14" s="129"/>
      <c r="AC14" s="201" t="s">
        <v>42</v>
      </c>
      <c r="AD14" s="201"/>
      <c r="AE14" s="201"/>
      <c r="AF14" s="201"/>
      <c r="AG14" s="104"/>
      <c r="AH14" s="104"/>
      <c r="AI14" s="202" t="s">
        <v>30</v>
      </c>
      <c r="AJ14" s="202"/>
      <c r="AK14" s="202"/>
      <c r="AL14" s="202"/>
      <c r="AM14" s="129"/>
      <c r="AN14" s="129"/>
      <c r="AO14" s="201" t="s">
        <v>43</v>
      </c>
      <c r="AP14" s="201"/>
      <c r="AQ14" s="201"/>
      <c r="AR14" s="201"/>
      <c r="AS14" s="104"/>
      <c r="AT14" s="104"/>
      <c r="AU14" s="202" t="s">
        <v>31</v>
      </c>
      <c r="AV14" s="202"/>
      <c r="AW14" s="202"/>
      <c r="AX14" s="202"/>
      <c r="AY14" s="129"/>
      <c r="AZ14" s="129"/>
      <c r="BA14" s="201" t="s">
        <v>44</v>
      </c>
      <c r="BB14" s="201"/>
      <c r="BC14" s="201"/>
      <c r="BD14" s="20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3">
        <v>1</v>
      </c>
      <c r="C1" s="163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46</v>
      </c>
      <c r="C2" s="151"/>
      <c r="D2" s="80" t="s">
        <v>17</v>
      </c>
      <c r="E2" s="223" t="s">
        <v>18</v>
      </c>
      <c r="F2" s="224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9"/>
      <c r="F3" s="22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1"/>
      <c r="F4" s="21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1"/>
      <c r="F5" s="21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1"/>
      <c r="F6" s="21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1"/>
      <c r="F7" s="21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1"/>
      <c r="F8" s="21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1"/>
      <c r="F9" s="21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3"/>
      <c r="F10" s="214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25"/>
      <c r="F11" s="22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16</v>
      </c>
      <c r="B1" s="164">
        <v>1</v>
      </c>
      <c r="C1" s="164"/>
      <c r="D1" s="157" t="s">
        <v>19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46</v>
      </c>
      <c r="C2" s="160"/>
      <c r="D2" s="78" t="s">
        <v>17</v>
      </c>
      <c r="E2" s="217" t="s">
        <v>18</v>
      </c>
      <c r="F2" s="21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19"/>
      <c r="F3" s="22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1"/>
      <c r="F4" s="21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1"/>
      <c r="F5" s="21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1"/>
      <c r="F6" s="21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1"/>
      <c r="F7" s="21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1"/>
      <c r="F8" s="21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1"/>
      <c r="F9" s="21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3"/>
      <c r="F10" s="214"/>
      <c r="G10" s="51"/>
    </row>
    <row r="11" spans="1:7" s="52" customFormat="1" ht="15" thickBot="1" x14ac:dyDescent="0.35">
      <c r="A11" s="162" t="s">
        <v>33</v>
      </c>
      <c r="B11" s="83">
        <f>SUM(B3:B10)</f>
        <v>0</v>
      </c>
      <c r="C11" s="162" t="str">
        <f xml:space="preserve"> setValueToTime(B11)</f>
        <v>0h</v>
      </c>
      <c r="D11" s="121"/>
      <c r="E11" s="215"/>
      <c r="F11" s="216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2023-12-19T15:31:36Z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