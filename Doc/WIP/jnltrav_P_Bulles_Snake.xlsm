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4" i="12"/>
  <c r="C12" i="12"/>
  <c r="C5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66" i="1"/>
  <c r="D22" i="1"/>
  <c r="D81" i="1"/>
  <c r="D59" i="1"/>
  <c r="D46" i="1"/>
  <c r="D68" i="1"/>
  <c r="D93" i="1"/>
  <c r="D33" i="1"/>
  <c r="D85" i="1"/>
  <c r="D61" i="1"/>
  <c r="D31" i="1"/>
  <c r="D55" i="1"/>
  <c r="D54" i="1"/>
  <c r="D38" i="1"/>
  <c r="D63" i="1"/>
  <c r="D34" i="1"/>
  <c r="D26" i="1"/>
  <c r="D91" i="1"/>
  <c r="D73" i="1"/>
  <c r="D74" i="1"/>
  <c r="D51" i="1"/>
  <c r="D77" i="1"/>
  <c r="D72" i="1"/>
  <c r="D89" i="1"/>
  <c r="D18" i="1"/>
  <c r="D56" i="1"/>
  <c r="D37" i="1"/>
  <c r="D27" i="1"/>
  <c r="C11" i="16"/>
  <c r="D70" i="1"/>
  <c r="D92" i="1"/>
  <c r="D20" i="1"/>
  <c r="D52" i="1"/>
  <c r="C11" i="15"/>
  <c r="D58" i="1"/>
  <c r="D36" i="1"/>
  <c r="D23" i="1"/>
  <c r="D28" i="1"/>
  <c r="D67" i="1"/>
  <c r="D75" i="1"/>
  <c r="D82" i="1"/>
  <c r="D84" i="1"/>
  <c r="D49" i="1"/>
  <c r="D86" i="1"/>
  <c r="D45" i="1"/>
  <c r="D44" i="1"/>
  <c r="D60" i="1"/>
  <c r="D25" i="1"/>
  <c r="D17" i="1"/>
  <c r="D43" i="1"/>
  <c r="D69" i="1"/>
  <c r="D21" i="1"/>
  <c r="D39" i="1"/>
  <c r="D88" i="1"/>
  <c r="D62" i="1"/>
  <c r="D90" i="1"/>
  <c r="D83" i="1"/>
  <c r="D53" i="1"/>
  <c r="D87" i="1"/>
  <c r="D24" i="1"/>
  <c r="D65" i="1"/>
  <c r="D50" i="1"/>
  <c r="D80" i="1"/>
  <c r="D15" i="1"/>
  <c r="D16" i="1"/>
  <c r="D40" i="1"/>
  <c r="D78" i="1"/>
  <c r="D47" i="1"/>
  <c r="D30" i="1"/>
  <c r="D76" i="1"/>
  <c r="D71" i="1"/>
  <c r="D41" i="1"/>
  <c r="D35" i="1"/>
  <c r="D29" i="1"/>
  <c r="D64" i="1"/>
  <c r="D48" i="1"/>
  <c r="D79" i="1"/>
  <c r="D57" i="1"/>
  <c r="D32" i="1"/>
  <c r="D42" i="1"/>
  <c r="D94" i="1"/>
  <c r="D1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<sst xmlns="http://schemas.openxmlformats.org/spreadsheetml/2006/main" count="186" uniqueCount="57">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</sst>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C35" sqref="C35:C3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1" t="str">
        <f>E96</f>
        <v>0h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19"/>
      <c r="W9" s="190" t="s">
        <v>27</v>
      </c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1" t="str">
        <f>E98</f>
        <v>0h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192"/>
      <c r="CO10" s="192"/>
      <c r="CP10" s="192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90"/>
    </row>
    <row r="11" spans="1:186" ht="20.100000000000001" customHeight="1" x14ac:dyDescent="0.25">
      <c r="B11" s="96"/>
      <c r="C11" s="198"/>
      <c r="D11" s="198"/>
      <c r="E11" s="198"/>
      <c r="F11" s="189" t="s">
        <v>48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48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6" t="s">
        <v>48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90"/>
    </row>
    <row r="12" spans="1:186" ht="15.75" customHeight="1" thickBot="1" x14ac:dyDescent="0.3">
      <c r="B12" s="97"/>
      <c r="C12" s="199"/>
      <c r="D12" s="199"/>
      <c r="E12" s="199"/>
      <c r="F12" s="188" t="s">
        <v>49</v>
      </c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 t="s">
        <v>49</v>
      </c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7" t="s">
        <v>49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1" t="s">
        <v>8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3"/>
      <c r="BN13" s="171" t="s">
        <v>32</v>
      </c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  <c r="DJ13" s="172"/>
      <c r="DK13" s="172"/>
      <c r="DL13" s="172"/>
      <c r="DM13" s="172"/>
      <c r="DN13" s="172"/>
      <c r="DO13" s="172"/>
      <c r="DP13" s="172"/>
      <c r="DQ13" s="172"/>
      <c r="DR13" s="172"/>
      <c r="DS13" s="172"/>
      <c r="DT13" s="172"/>
      <c r="DU13" s="173"/>
      <c r="DV13" s="171" t="s">
        <v>23</v>
      </c>
      <c r="DW13" s="172"/>
      <c r="DX13" s="172"/>
      <c r="DY13" s="172"/>
      <c r="DZ13" s="172"/>
      <c r="EA13" s="172"/>
      <c r="EB13" s="172"/>
      <c r="EC13" s="172"/>
      <c r="ED13" s="172"/>
      <c r="EE13" s="172"/>
      <c r="EF13" s="172"/>
      <c r="EG13" s="172"/>
      <c r="EH13" s="172"/>
      <c r="EI13" s="172"/>
      <c r="EJ13" s="172"/>
      <c r="EK13" s="172"/>
      <c r="EL13" s="172"/>
      <c r="EM13" s="172"/>
      <c r="EN13" s="172"/>
      <c r="EO13" s="172"/>
      <c r="EP13" s="172"/>
      <c r="EQ13" s="172"/>
      <c r="ER13" s="172"/>
      <c r="ES13" s="172"/>
      <c r="ET13" s="172"/>
      <c r="EU13" s="172"/>
      <c r="EV13" s="172"/>
      <c r="EW13" s="172"/>
      <c r="EX13" s="172"/>
      <c r="EY13" s="172"/>
      <c r="EZ13" s="172"/>
      <c r="FA13" s="172"/>
      <c r="FB13" s="172"/>
      <c r="FC13" s="172"/>
      <c r="FD13" s="172"/>
      <c r="FE13" s="172"/>
      <c r="FF13" s="172"/>
      <c r="FG13" s="172"/>
      <c r="FH13" s="172"/>
      <c r="FI13" s="172"/>
      <c r="FJ13" s="172"/>
      <c r="FK13" s="172"/>
      <c r="FL13" s="172"/>
      <c r="FM13" s="172"/>
      <c r="FN13" s="172"/>
      <c r="FO13" s="172"/>
      <c r="FP13" s="172"/>
      <c r="FQ13" s="172"/>
      <c r="FR13" s="172"/>
      <c r="FS13" s="172"/>
      <c r="FT13" s="172"/>
      <c r="FU13" s="172"/>
      <c r="FV13" s="172"/>
      <c r="FW13" s="172"/>
      <c r="FX13" s="172"/>
      <c r="FY13" s="172"/>
      <c r="FZ13" s="172"/>
      <c r="GA13" s="172"/>
      <c r="GB13" s="172"/>
      <c r="GC13" s="173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4" t="s">
        <v>40</v>
      </c>
      <c r="K14" s="174"/>
      <c r="L14" s="174"/>
      <c r="M14" s="174"/>
      <c r="N14" s="104"/>
      <c r="O14" s="104"/>
      <c r="P14" s="170" t="s">
        <v>28</v>
      </c>
      <c r="Q14" s="170"/>
      <c r="R14" s="170"/>
      <c r="S14" s="170"/>
      <c r="T14" s="129"/>
      <c r="U14" s="129"/>
      <c r="V14" s="174" t="s">
        <v>41</v>
      </c>
      <c r="W14" s="174"/>
      <c r="X14" s="174"/>
      <c r="Y14" s="174"/>
      <c r="Z14" s="104"/>
      <c r="AA14" s="104"/>
      <c r="AB14" s="170" t="s">
        <v>29</v>
      </c>
      <c r="AC14" s="170"/>
      <c r="AD14" s="170"/>
      <c r="AE14" s="170"/>
      <c r="AF14" s="129"/>
      <c r="AG14" s="129"/>
      <c r="AH14" s="174" t="s">
        <v>42</v>
      </c>
      <c r="AI14" s="174"/>
      <c r="AJ14" s="174"/>
      <c r="AK14" s="174"/>
      <c r="AL14" s="104"/>
      <c r="AM14" s="104"/>
      <c r="AN14" s="170" t="s">
        <v>30</v>
      </c>
      <c r="AO14" s="170"/>
      <c r="AP14" s="170"/>
      <c r="AQ14" s="170"/>
      <c r="AR14" s="129"/>
      <c r="AS14" s="129"/>
      <c r="AT14" s="174" t="s">
        <v>43</v>
      </c>
      <c r="AU14" s="174"/>
      <c r="AV14" s="174"/>
      <c r="AW14" s="174"/>
      <c r="AX14" s="104"/>
      <c r="AY14" s="104"/>
      <c r="AZ14" s="170" t="s">
        <v>31</v>
      </c>
      <c r="BA14" s="170"/>
      <c r="BB14" s="170"/>
      <c r="BC14" s="170"/>
      <c r="BD14" s="129"/>
      <c r="BE14" s="129"/>
      <c r="BF14" s="174" t="s">
        <v>44</v>
      </c>
      <c r="BG14" s="174"/>
      <c r="BH14" s="174"/>
      <c r="BI14" s="174"/>
      <c r="BJ14" s="104"/>
      <c r="BK14" s="104"/>
      <c r="BL14" s="104"/>
      <c r="BM14" s="105"/>
      <c r="BN14" s="103"/>
      <c r="BO14" s="104"/>
      <c r="BP14" s="104"/>
      <c r="BQ14" s="104"/>
      <c r="BR14" s="174" t="s">
        <v>40</v>
      </c>
      <c r="BS14" s="174"/>
      <c r="BT14" s="174"/>
      <c r="BU14" s="174"/>
      <c r="BV14" s="104"/>
      <c r="BW14" s="104"/>
      <c r="BX14" s="170" t="s">
        <v>28</v>
      </c>
      <c r="BY14" s="170"/>
      <c r="BZ14" s="170"/>
      <c r="CA14" s="170"/>
      <c r="CB14" s="129"/>
      <c r="CC14" s="129"/>
      <c r="CD14" s="174" t="s">
        <v>41</v>
      </c>
      <c r="CE14" s="174"/>
      <c r="CF14" s="174"/>
      <c r="CG14" s="174"/>
      <c r="CH14" s="104"/>
      <c r="CI14" s="104"/>
      <c r="CJ14" s="170" t="s">
        <v>29</v>
      </c>
      <c r="CK14" s="170"/>
      <c r="CL14" s="170"/>
      <c r="CM14" s="170"/>
      <c r="CN14" s="129"/>
      <c r="CO14" s="129"/>
      <c r="CP14" s="174" t="s">
        <v>42</v>
      </c>
      <c r="CQ14" s="174"/>
      <c r="CR14" s="174"/>
      <c r="CS14" s="174"/>
      <c r="CT14" s="104"/>
      <c r="CU14" s="104"/>
      <c r="CV14" s="170" t="s">
        <v>30</v>
      </c>
      <c r="CW14" s="170"/>
      <c r="CX14" s="170"/>
      <c r="CY14" s="170"/>
      <c r="CZ14" s="129"/>
      <c r="DA14" s="129"/>
      <c r="DB14" s="174" t="s">
        <v>43</v>
      </c>
      <c r="DC14" s="174"/>
      <c r="DD14" s="174"/>
      <c r="DE14" s="174"/>
      <c r="DF14" s="104"/>
      <c r="DG14" s="104"/>
      <c r="DH14" s="170" t="s">
        <v>31</v>
      </c>
      <c r="DI14" s="170"/>
      <c r="DJ14" s="170"/>
      <c r="DK14" s="170"/>
      <c r="DL14" s="129"/>
      <c r="DM14" s="129"/>
      <c r="DN14" s="174" t="s">
        <v>44</v>
      </c>
      <c r="DO14" s="174"/>
      <c r="DP14" s="174"/>
      <c r="DQ14" s="174"/>
      <c r="DR14" s="104"/>
      <c r="DS14" s="104"/>
      <c r="DT14" s="104"/>
      <c r="DU14" s="105"/>
      <c r="DV14" s="103"/>
      <c r="DW14" s="104"/>
      <c r="DX14" s="104"/>
      <c r="DY14" s="104"/>
      <c r="DZ14" s="174" t="s">
        <v>40</v>
      </c>
      <c r="EA14" s="174"/>
      <c r="EB14" s="174"/>
      <c r="EC14" s="174"/>
      <c r="ED14" s="104"/>
      <c r="EE14" s="104"/>
      <c r="EF14" s="170" t="s">
        <v>28</v>
      </c>
      <c r="EG14" s="170"/>
      <c r="EH14" s="170"/>
      <c r="EI14" s="170"/>
      <c r="EJ14" s="129"/>
      <c r="EK14" s="129"/>
      <c r="EL14" s="174" t="s">
        <v>41</v>
      </c>
      <c r="EM14" s="174"/>
      <c r="EN14" s="174"/>
      <c r="EO14" s="174"/>
      <c r="EP14" s="104"/>
      <c r="EQ14" s="104"/>
      <c r="ER14" s="170" t="s">
        <v>29</v>
      </c>
      <c r="ES14" s="170"/>
      <c r="ET14" s="170"/>
      <c r="EU14" s="170"/>
      <c r="EV14" s="129"/>
      <c r="EW14" s="129"/>
      <c r="EX14" s="174" t="s">
        <v>42</v>
      </c>
      <c r="EY14" s="174"/>
      <c r="EZ14" s="174"/>
      <c r="FA14" s="174"/>
      <c r="FB14" s="104"/>
      <c r="FC14" s="104"/>
      <c r="FD14" s="170" t="s">
        <v>30</v>
      </c>
      <c r="FE14" s="170"/>
      <c r="FF14" s="170"/>
      <c r="FG14" s="170"/>
      <c r="FH14" s="129"/>
      <c r="FI14" s="129"/>
      <c r="FJ14" s="174" t="s">
        <v>43</v>
      </c>
      <c r="FK14" s="174"/>
      <c r="FL14" s="174"/>
      <c r="FM14" s="174"/>
      <c r="FN14" s="104"/>
      <c r="FO14" s="104"/>
      <c r="FP14" s="170" t="s">
        <v>31</v>
      </c>
      <c r="FQ14" s="170"/>
      <c r="FR14" s="170"/>
      <c r="FS14" s="170"/>
      <c r="FT14" s="129"/>
      <c r="FU14" s="129"/>
      <c r="FV14" s="174" t="s">
        <v>44</v>
      </c>
      <c r="FW14" s="174"/>
      <c r="FX14" s="174"/>
      <c r="FY14" s="174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3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4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3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4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3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Mise en place du projet</v>
      </c>
      <c r="C20" s="193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Explication</v>
      </c>
      <c r="C21" s="183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>Apprendre</v>
      </c>
      <c r="C22" s="193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3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93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3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4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3" t="s">
        <v>51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4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3" t="s">
        <v>54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4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3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4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3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4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3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93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3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4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3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93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3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4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3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4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3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93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3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4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3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4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3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93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3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4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3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93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3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4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3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4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3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93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3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4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3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4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3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93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3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4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3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93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3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4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3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4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3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93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3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4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3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4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3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93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3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4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3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93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3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4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3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4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3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93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9" t="s">
        <v>10</v>
      </c>
      <c r="D97" s="180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1"/>
      <c r="D98" s="182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E8" sqref="E8:F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3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45237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51</v>
      </c>
      <c r="B4" s="49">
        <v>4</v>
      </c>
      <c r="C4" s="153" t="str">
        <f xml:space="preserve"> IF(B4="","",setValueToTime(B4))</f>
        <v>0h20min</v>
      </c>
      <c r="D4" s="166" t="s">
        <v>52</v>
      </c>
      <c r="E4" s="210"/>
      <c r="F4" s="211"/>
      <c r="G4" s="51"/>
    </row>
    <row r="5" spans="1:7" s="52" customFormat="1" ht="29.25" customHeight="1" x14ac:dyDescent="0.3">
      <c r="A5" s="53" t="s">
        <v>50</v>
      </c>
      <c r="B5" s="54">
        <v>20</v>
      </c>
      <c r="C5" s="154" t="str">
        <f t="shared" ref="C5:C11" si="0" xml:space="preserve"> IF(B5="","",setValueToTime(B5))</f>
        <v>1h40min</v>
      </c>
      <c r="D5" s="167" t="s">
        <v>53</v>
      </c>
      <c r="E5" s="202"/>
      <c r="F5" s="203"/>
      <c r="G5" s="51"/>
    </row>
    <row r="6" spans="1:7" s="52" customFormat="1" x14ac:dyDescent="0.3">
      <c r="A6" s="53" t="s">
        <v>54</v>
      </c>
      <c r="B6" s="54">
        <v>36</v>
      </c>
      <c r="C6" s="154" t="str">
        <f t="shared" si="0"/>
        <v>3h</v>
      </c>
      <c r="D6" s="167" t="s">
        <v>55</v>
      </c>
      <c r="E6" s="216" t="s">
        <v>56</v>
      </c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60</v>
      </c>
      <c r="C12" s="163" t="str">
        <f xml:space="preserve"> setValueToTime(B12)</f>
        <v>5h</v>
      </c>
      <c r="D12" s="121"/>
      <c r="E12" s="206"/>
      <c r="F12" s="207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hyperlinks>
    <hyperlink ref="E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71" t="s">
        <v>16</v>
      </c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172"/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3"/>
      <c r="BI13" s="90"/>
    </row>
    <row r="14" spans="1:61" ht="15.75" thickBot="1" x14ac:dyDescent="0.35">
      <c r="A14" s="103"/>
      <c r="B14" s="104"/>
      <c r="C14" s="104"/>
      <c r="D14" s="104"/>
      <c r="E14" s="174" t="s">
        <v>40</v>
      </c>
      <c r="F14" s="174"/>
      <c r="G14" s="174"/>
      <c r="H14" s="174"/>
      <c r="I14" s="104"/>
      <c r="J14" s="104"/>
      <c r="K14" s="170" t="s">
        <v>28</v>
      </c>
      <c r="L14" s="170"/>
      <c r="M14" s="170"/>
      <c r="N14" s="170"/>
      <c r="O14" s="129"/>
      <c r="P14" s="129"/>
      <c r="Q14" s="174" t="s">
        <v>41</v>
      </c>
      <c r="R14" s="174"/>
      <c r="S14" s="174"/>
      <c r="T14" s="174"/>
      <c r="U14" s="104"/>
      <c r="V14" s="104"/>
      <c r="W14" s="170" t="s">
        <v>29</v>
      </c>
      <c r="X14" s="170"/>
      <c r="Y14" s="170"/>
      <c r="Z14" s="170"/>
      <c r="AA14" s="129"/>
      <c r="AB14" s="129"/>
      <c r="AC14" s="174" t="s">
        <v>42</v>
      </c>
      <c r="AD14" s="174"/>
      <c r="AE14" s="174"/>
      <c r="AF14" s="174"/>
      <c r="AG14" s="104"/>
      <c r="AH14" s="104"/>
      <c r="AI14" s="170" t="s">
        <v>30</v>
      </c>
      <c r="AJ14" s="170"/>
      <c r="AK14" s="170"/>
      <c r="AL14" s="170"/>
      <c r="AM14" s="129"/>
      <c r="AN14" s="129"/>
      <c r="AO14" s="174" t="s">
        <v>43</v>
      </c>
      <c r="AP14" s="174"/>
      <c r="AQ14" s="174"/>
      <c r="AR14" s="174"/>
      <c r="AS14" s="104"/>
      <c r="AT14" s="104"/>
      <c r="AU14" s="170" t="s">
        <v>31</v>
      </c>
      <c r="AV14" s="170"/>
      <c r="AW14" s="170"/>
      <c r="AX14" s="170"/>
      <c r="AY14" s="129"/>
      <c r="AZ14" s="129"/>
      <c r="BA14" s="174" t="s">
        <v>44</v>
      </c>
      <c r="BB14" s="174"/>
      <c r="BC14" s="174"/>
      <c r="BD14" s="174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4" t="s">
        <v>18</v>
      </c>
      <c r="F2" s="215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2"/>
      <c r="F11" s="213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2023-11-07T15:32:38Z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