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lordon\Documents\GitHub\P_Bulles_Snake\Doc\WIP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38" i="1"/>
  <c r="D44" i="1"/>
  <c r="D24" i="1"/>
  <c r="D76" i="1"/>
  <c r="D66" i="1"/>
  <c r="D57" i="1"/>
  <c r="D59" i="1"/>
  <c r="D52" i="1"/>
  <c r="D84" i="1"/>
  <c r="D74" i="1"/>
  <c r="D65" i="1"/>
  <c r="D71" i="1"/>
  <c r="D64" i="1"/>
  <c r="D32" i="1"/>
  <c r="D46" i="1"/>
  <c r="C11" i="15"/>
  <c r="D63" i="1"/>
  <c r="D60" i="1"/>
  <c r="D50" i="1"/>
  <c r="D41" i="1"/>
  <c r="D39" i="1"/>
  <c r="D83" i="1"/>
  <c r="D68" i="1"/>
  <c r="D58" i="1"/>
  <c r="D49" i="1"/>
  <c r="D51" i="1"/>
  <c r="D80" i="1"/>
  <c r="D89" i="1"/>
  <c r="D37" i="1"/>
  <c r="C11" i="16"/>
  <c r="D93" i="1"/>
  <c r="D36" i="1"/>
  <c r="D34" i="1"/>
  <c r="D25" i="1"/>
  <c r="D15" i="1"/>
  <c r="D35" i="1"/>
  <c r="D48" i="1"/>
  <c r="D42" i="1"/>
  <c r="D33" i="1"/>
  <c r="D23" i="1"/>
  <c r="D86" i="1"/>
  <c r="D77" i="1"/>
  <c r="D16" i="1"/>
  <c r="D18" i="1"/>
  <c r="D88" i="1"/>
  <c r="D94" i="1"/>
  <c r="D85" i="1"/>
  <c r="D28" i="1"/>
  <c r="D26" i="1"/>
  <c r="D17" i="1"/>
  <c r="D40" i="1"/>
  <c r="D29" i="1"/>
  <c r="D27" i="1"/>
  <c r="D70" i="1"/>
  <c r="D61" i="1"/>
  <c r="D67" i="1"/>
  <c r="D91" i="1"/>
  <c r="D72" i="1"/>
  <c r="D78" i="1"/>
  <c r="D69" i="1"/>
  <c r="D79" i="1"/>
  <c r="D19" i="1"/>
  <c r="D31" i="1"/>
  <c r="D54" i="1"/>
  <c r="D45" i="1"/>
  <c r="D43" i="1"/>
  <c r="D47" i="1"/>
  <c r="D56" i="1"/>
  <c r="D62" i="1"/>
  <c r="D53" i="1"/>
  <c r="D55" i="1"/>
  <c r="D7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<sst xmlns="http://schemas.openxmlformats.org/spreadsheetml/2006/main" count="182" uniqueCount="54">
  <si>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</si>
  <si>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</si>
  <si>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</si>
  <si>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</si>
  <si>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</si>
  <si>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</si>
  <si>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</si>
  <si>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</si>
  <si>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</si>
  <si>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</si>
  <si>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</si>
  <si>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</si>
  <si>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</si>
  <si>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</si>
  <si>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</si>
  <si>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</si>
  <si>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</si>
  <si>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</si>
  <si>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</si>
  <si>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</si>
  <si>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</si>
  <si>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</si>
  <si>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</si>
  <si>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</si>
  <si>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</si>
  <si>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</si>
  <si>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</si>
  <si>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</si>
  <si>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</si>
  <si>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</si>
  <si>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</si>
  <si>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</si>
  <si>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</si>
  <si>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</si>
  <si>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</si>
  <si>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</si>
  <si>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</si>
  <si>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</si>
  <si>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</si>
  <si>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</si>
  <si>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</si>
  <si>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</si>
  <si>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</si>
  <si>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</si>
  <si>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</si>
  <si>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</si>
  <si>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</si>
  <si>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</si>
  <si>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</si>
  <si>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</si>
  <si>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</si>
  <si>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</si>
  <si>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Introduction du projet par Aurélie Curchod</t>
  </si>
  <si>
    <t>Afin d'avoir un bon projet, j'ai mis en place/crée : le repo GitHub,l'Aide-mémoire JavaScript,le journal de travail et le rapport. De plus je me suis inscrit au projet dans la market place.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</si>
</sst>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38</v>
      </c>
      <c r="C35" s="166"/>
      <c r="D35" s="166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39</v>
      </c>
      <c r="C37" s="167"/>
      <c r="D37" s="167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zoomScale="70" zoomScaleNormal="70" zoomScaleSheetLayoutView="43" workbookViewId="0">
      <selection activeCell="C29" sqref="C29:C30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68" t="s">
        <v>35</v>
      </c>
      <c r="D1" s="168"/>
      <c r="E1" s="16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69"/>
      <c r="D7" s="169"/>
      <c r="E7" s="16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73" t="str">
        <f>E96</f>
        <v>0h</v>
      </c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19"/>
      <c r="W9" s="182" t="s">
        <v>27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73" t="str">
        <f>E98</f>
        <v>0h</v>
      </c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78"/>
      <c r="D11" s="178"/>
      <c r="E11" s="178"/>
      <c r="F11" s="181" t="s">
        <v>48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48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85" t="s">
        <v>48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90"/>
    </row>
    <row r="12" spans="1:186" ht="15.75" customHeight="1" thickBot="1" x14ac:dyDescent="0.3">
      <c r="B12" s="97"/>
      <c r="C12" s="179"/>
      <c r="D12" s="179"/>
      <c r="E12" s="179"/>
      <c r="F12" s="180" t="s">
        <v>49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49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86" t="s">
        <v>49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90"/>
    </row>
    <row r="13" spans="1:186" ht="42.75" customHeight="1" thickBot="1" x14ac:dyDescent="0.3">
      <c r="B13" s="96"/>
      <c r="C13" s="174" t="s">
        <v>7</v>
      </c>
      <c r="D13" s="145"/>
      <c r="E13" s="176" t="s">
        <v>45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32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23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90"/>
    </row>
    <row r="14" spans="1:186" ht="12.75" customHeight="1" thickBot="1" x14ac:dyDescent="0.35">
      <c r="B14" s="96"/>
      <c r="C14" s="175"/>
      <c r="D14" s="146"/>
      <c r="E14" s="177"/>
      <c r="F14" s="103"/>
      <c r="G14" s="104"/>
      <c r="H14" s="104"/>
      <c r="I14" s="104"/>
      <c r="J14" s="190" t="s">
        <v>40</v>
      </c>
      <c r="K14" s="190"/>
      <c r="L14" s="190"/>
      <c r="M14" s="190"/>
      <c r="N14" s="104"/>
      <c r="O14" s="104"/>
      <c r="P14" s="191" t="s">
        <v>28</v>
      </c>
      <c r="Q14" s="191"/>
      <c r="R14" s="191"/>
      <c r="S14" s="191"/>
      <c r="T14" s="129"/>
      <c r="U14" s="129"/>
      <c r="V14" s="190" t="s">
        <v>41</v>
      </c>
      <c r="W14" s="190"/>
      <c r="X14" s="190"/>
      <c r="Y14" s="190"/>
      <c r="Z14" s="104"/>
      <c r="AA14" s="104"/>
      <c r="AB14" s="191" t="s">
        <v>29</v>
      </c>
      <c r="AC14" s="191"/>
      <c r="AD14" s="191"/>
      <c r="AE14" s="191"/>
      <c r="AF14" s="129"/>
      <c r="AG14" s="129"/>
      <c r="AH14" s="190" t="s">
        <v>42</v>
      </c>
      <c r="AI14" s="190"/>
      <c r="AJ14" s="190"/>
      <c r="AK14" s="190"/>
      <c r="AL14" s="104"/>
      <c r="AM14" s="104"/>
      <c r="AN14" s="191" t="s">
        <v>30</v>
      </c>
      <c r="AO14" s="191"/>
      <c r="AP14" s="191"/>
      <c r="AQ14" s="191"/>
      <c r="AR14" s="129"/>
      <c r="AS14" s="129"/>
      <c r="AT14" s="190" t="s">
        <v>43</v>
      </c>
      <c r="AU14" s="190"/>
      <c r="AV14" s="190"/>
      <c r="AW14" s="190"/>
      <c r="AX14" s="104"/>
      <c r="AY14" s="104"/>
      <c r="AZ14" s="191" t="s">
        <v>31</v>
      </c>
      <c r="BA14" s="191"/>
      <c r="BB14" s="191"/>
      <c r="BC14" s="191"/>
      <c r="BD14" s="129"/>
      <c r="BE14" s="129"/>
      <c r="BF14" s="190" t="s">
        <v>44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40</v>
      </c>
      <c r="BS14" s="190"/>
      <c r="BT14" s="190"/>
      <c r="BU14" s="190"/>
      <c r="BV14" s="104"/>
      <c r="BW14" s="104"/>
      <c r="BX14" s="191" t="s">
        <v>28</v>
      </c>
      <c r="BY14" s="191"/>
      <c r="BZ14" s="191"/>
      <c r="CA14" s="191"/>
      <c r="CB14" s="129"/>
      <c r="CC14" s="129"/>
      <c r="CD14" s="190" t="s">
        <v>41</v>
      </c>
      <c r="CE14" s="190"/>
      <c r="CF14" s="190"/>
      <c r="CG14" s="190"/>
      <c r="CH14" s="104"/>
      <c r="CI14" s="104"/>
      <c r="CJ14" s="191" t="s">
        <v>29</v>
      </c>
      <c r="CK14" s="191"/>
      <c r="CL14" s="191"/>
      <c r="CM14" s="191"/>
      <c r="CN14" s="129"/>
      <c r="CO14" s="129"/>
      <c r="CP14" s="190" t="s">
        <v>42</v>
      </c>
      <c r="CQ14" s="190"/>
      <c r="CR14" s="190"/>
      <c r="CS14" s="190"/>
      <c r="CT14" s="104"/>
      <c r="CU14" s="104"/>
      <c r="CV14" s="191" t="s">
        <v>30</v>
      </c>
      <c r="CW14" s="191"/>
      <c r="CX14" s="191"/>
      <c r="CY14" s="191"/>
      <c r="CZ14" s="129"/>
      <c r="DA14" s="129"/>
      <c r="DB14" s="190" t="s">
        <v>43</v>
      </c>
      <c r="DC14" s="190"/>
      <c r="DD14" s="190"/>
      <c r="DE14" s="190"/>
      <c r="DF14" s="104"/>
      <c r="DG14" s="104"/>
      <c r="DH14" s="191" t="s">
        <v>31</v>
      </c>
      <c r="DI14" s="191"/>
      <c r="DJ14" s="191"/>
      <c r="DK14" s="191"/>
      <c r="DL14" s="129"/>
      <c r="DM14" s="129"/>
      <c r="DN14" s="190" t="s">
        <v>44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40</v>
      </c>
      <c r="EA14" s="190"/>
      <c r="EB14" s="190"/>
      <c r="EC14" s="190"/>
      <c r="ED14" s="104"/>
      <c r="EE14" s="104"/>
      <c r="EF14" s="191" t="s">
        <v>28</v>
      </c>
      <c r="EG14" s="191"/>
      <c r="EH14" s="191"/>
      <c r="EI14" s="191"/>
      <c r="EJ14" s="129"/>
      <c r="EK14" s="129"/>
      <c r="EL14" s="190" t="s">
        <v>41</v>
      </c>
      <c r="EM14" s="190"/>
      <c r="EN14" s="190"/>
      <c r="EO14" s="190"/>
      <c r="EP14" s="104"/>
      <c r="EQ14" s="104"/>
      <c r="ER14" s="191" t="s">
        <v>29</v>
      </c>
      <c r="ES14" s="191"/>
      <c r="ET14" s="191"/>
      <c r="EU14" s="191"/>
      <c r="EV14" s="129"/>
      <c r="EW14" s="129"/>
      <c r="EX14" s="190" t="s">
        <v>42</v>
      </c>
      <c r="EY14" s="190"/>
      <c r="EZ14" s="190"/>
      <c r="FA14" s="190"/>
      <c r="FB14" s="104"/>
      <c r="FC14" s="104"/>
      <c r="FD14" s="191" t="s">
        <v>30</v>
      </c>
      <c r="FE14" s="191"/>
      <c r="FF14" s="191"/>
      <c r="FG14" s="191"/>
      <c r="FH14" s="129"/>
      <c r="FI14" s="129"/>
      <c r="FJ14" s="190" t="s">
        <v>43</v>
      </c>
      <c r="FK14" s="190"/>
      <c r="FL14" s="190"/>
      <c r="FM14" s="190"/>
      <c r="FN14" s="104"/>
      <c r="FO14" s="104"/>
      <c r="FP14" s="191" t="s">
        <v>31</v>
      </c>
      <c r="FQ14" s="191"/>
      <c r="FR14" s="191"/>
      <c r="FS14" s="191"/>
      <c r="FT14" s="129"/>
      <c r="FU14" s="129"/>
      <c r="FV14" s="190" t="s">
        <v>44</v>
      </c>
      <c r="FW14" s="190"/>
      <c r="FX14" s="190"/>
      <c r="FY14" s="190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0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1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0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1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0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Mise en place du projet</v>
      </c>
      <c r="C20" s="172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Explication</v>
      </c>
      <c r="C21" s="170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72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70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72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70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71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70" t="s">
        <v>51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71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70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71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0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1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0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1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0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2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0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1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0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2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0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1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0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1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0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2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0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1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0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1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0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2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0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1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0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2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0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1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0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1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0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2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0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1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0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1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0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2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0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1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0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2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0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1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0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1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0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2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0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1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0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1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0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2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0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1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0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2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0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1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0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1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0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2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2" t="s">
        <v>9</v>
      </c>
      <c r="D95" s="193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94"/>
      <c r="D96" s="195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8"/>
      <c r="D98" s="199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P14:FS14"/>
    <mergeCell ref="F13:BM13"/>
    <mergeCell ref="J14:M14"/>
    <mergeCell ref="P14: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D17" sqref="D17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3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1</v>
      </c>
      <c r="C2" s="165"/>
      <c r="D2" s="158" t="s">
        <v>19</v>
      </c>
      <c r="E2" s="159">
        <v>45237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12" t="s">
        <v>18</v>
      </c>
      <c r="F3" s="213"/>
      <c r="G3" s="46"/>
    </row>
    <row r="4" spans="1:7" s="52" customFormat="1" x14ac:dyDescent="0.3">
      <c r="A4" s="48" t="s">
        <v>51</v>
      </c>
      <c r="B4" s="49">
        <v>4</v>
      </c>
      <c r="C4" s="153" t="str">
        <f xml:space="preserve"> IF(B4="","",setValueToTime(B4))</f>
        <v>0h20min</v>
      </c>
      <c r="D4" s="214" t="s">
        <v>52</v>
      </c>
      <c r="E4" s="208"/>
      <c r="F4" s="209"/>
      <c r="G4" s="51"/>
    </row>
    <row r="5" spans="1:7" s="52" customFormat="1" ht="29.25" customHeight="1" x14ac:dyDescent="0.3">
      <c r="A5" s="53" t="s">
        <v>50</v>
      </c>
      <c r="B5" s="54">
        <v>20</v>
      </c>
      <c r="C5" s="154" t="str">
        <f t="shared" ref="C5:C11" si="0" xml:space="preserve"> IF(B5="","",setValueToTime(B5))</f>
        <v>1h40min</v>
      </c>
      <c r="D5" s="215" t="s">
        <v>53</v>
      </c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24</v>
      </c>
      <c r="C12" s="163" t="str">
        <f xml:space="preserve"> setValueToTime(B12)</f>
        <v>2h</v>
      </c>
      <c r="D12" s="121"/>
      <c r="E12" s="210"/>
      <c r="F12" s="211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>
      <formula1>0</formula1>
      <formula2>60</formula2>
    </dataValidation>
    <dataValidation type="list" allowBlank="1" showInputMessage="1" showErrorMessage="1" sqref="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16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40</v>
      </c>
      <c r="F14" s="190"/>
      <c r="G14" s="190"/>
      <c r="H14" s="190"/>
      <c r="I14" s="104"/>
      <c r="J14" s="104"/>
      <c r="K14" s="191" t="s">
        <v>28</v>
      </c>
      <c r="L14" s="191"/>
      <c r="M14" s="191"/>
      <c r="N14" s="191"/>
      <c r="O14" s="129"/>
      <c r="P14" s="129"/>
      <c r="Q14" s="190" t="s">
        <v>41</v>
      </c>
      <c r="R14" s="190"/>
      <c r="S14" s="190"/>
      <c r="T14" s="190"/>
      <c r="U14" s="104"/>
      <c r="V14" s="104"/>
      <c r="W14" s="191" t="s">
        <v>29</v>
      </c>
      <c r="X14" s="191"/>
      <c r="Y14" s="191"/>
      <c r="Z14" s="191"/>
      <c r="AA14" s="129"/>
      <c r="AB14" s="129"/>
      <c r="AC14" s="190" t="s">
        <v>42</v>
      </c>
      <c r="AD14" s="190"/>
      <c r="AE14" s="190"/>
      <c r="AF14" s="190"/>
      <c r="AG14" s="104"/>
      <c r="AH14" s="104"/>
      <c r="AI14" s="191" t="s">
        <v>30</v>
      </c>
      <c r="AJ14" s="191"/>
      <c r="AK14" s="191"/>
      <c r="AL14" s="191"/>
      <c r="AM14" s="129"/>
      <c r="AN14" s="129"/>
      <c r="AO14" s="190" t="s">
        <v>43</v>
      </c>
      <c r="AP14" s="190"/>
      <c r="AQ14" s="190"/>
      <c r="AR14" s="190"/>
      <c r="AS14" s="104"/>
      <c r="AT14" s="104"/>
      <c r="AU14" s="191" t="s">
        <v>31</v>
      </c>
      <c r="AV14" s="191"/>
      <c r="AW14" s="191"/>
      <c r="AX14" s="191"/>
      <c r="AY14" s="129"/>
      <c r="AZ14" s="129"/>
      <c r="BA14" s="190" t="s">
        <v>44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00" t="s">
        <v>18</v>
      </c>
      <c r="F2" s="20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06"/>
      <c r="F11" s="20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2" t="s">
        <v>18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2023-11-07T13:22:15Z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